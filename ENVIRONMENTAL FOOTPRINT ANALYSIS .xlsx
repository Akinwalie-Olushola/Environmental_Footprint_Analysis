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4c1aefb4a25417d/Documents/"/>
    </mc:Choice>
  </mc:AlternateContent>
  <xr:revisionPtr revIDLastSave="12" documentId="8_{C01EFBC9-B33F-49E3-A19B-ADD28C754B14}" xr6:coauthVersionLast="47" xr6:coauthVersionMax="47" xr10:uidLastSave="{961A5EC0-783C-4498-B1AA-91D6895108FD}"/>
  <bookViews>
    <workbookView minimized="1" xWindow="2472" yWindow="2472" windowWidth="17280" windowHeight="8880" xr2:uid="{00000000-000D-0000-FFFF-FFFF00000000}"/>
  </bookViews>
  <sheets>
    <sheet name="Cleaned &amp; calculated columns" sheetId="1" r:id="rId1"/>
    <sheet name="Raw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77" i="1" l="1"/>
  <c r="L577" i="1"/>
  <c r="K577" i="1"/>
  <c r="N577" i="1" s="1"/>
  <c r="O577" i="1" s="1"/>
  <c r="M576" i="1"/>
  <c r="L576" i="1"/>
  <c r="K576" i="1"/>
  <c r="N576" i="1" s="1"/>
  <c r="O576" i="1" s="1"/>
  <c r="M575" i="1"/>
  <c r="L575" i="1"/>
  <c r="K575" i="1"/>
  <c r="N575" i="1" s="1"/>
  <c r="O575" i="1" s="1"/>
  <c r="M574" i="1"/>
  <c r="L574" i="1"/>
  <c r="K574" i="1"/>
  <c r="N574" i="1" s="1"/>
  <c r="O574" i="1" s="1"/>
  <c r="M573" i="1"/>
  <c r="L573" i="1"/>
  <c r="K573" i="1"/>
  <c r="N573" i="1" s="1"/>
  <c r="O573" i="1" s="1"/>
  <c r="M572" i="1"/>
  <c r="L572" i="1"/>
  <c r="K572" i="1"/>
  <c r="N572" i="1" s="1"/>
  <c r="O572" i="1" s="1"/>
  <c r="M571" i="1"/>
  <c r="L571" i="1"/>
  <c r="K571" i="1"/>
  <c r="N571" i="1" s="1"/>
  <c r="O571" i="1" s="1"/>
  <c r="M570" i="1"/>
  <c r="L570" i="1"/>
  <c r="K570" i="1"/>
  <c r="N570" i="1" s="1"/>
  <c r="O570" i="1" s="1"/>
  <c r="M569" i="1"/>
  <c r="L569" i="1"/>
  <c r="K569" i="1"/>
  <c r="N569" i="1" s="1"/>
  <c r="O569" i="1" s="1"/>
  <c r="M568" i="1"/>
  <c r="L568" i="1"/>
  <c r="K568" i="1"/>
  <c r="N568" i="1" s="1"/>
  <c r="O568" i="1" s="1"/>
  <c r="M567" i="1"/>
  <c r="L567" i="1"/>
  <c r="K567" i="1"/>
  <c r="N567" i="1" s="1"/>
  <c r="O567" i="1" s="1"/>
  <c r="M566" i="1"/>
  <c r="L566" i="1"/>
  <c r="K566" i="1"/>
  <c r="N566" i="1" s="1"/>
  <c r="O566" i="1" s="1"/>
  <c r="M565" i="1"/>
  <c r="L565" i="1"/>
  <c r="K565" i="1"/>
  <c r="N565" i="1" s="1"/>
  <c r="O565" i="1" s="1"/>
  <c r="M564" i="1"/>
  <c r="L564" i="1"/>
  <c r="K564" i="1"/>
  <c r="N564" i="1" s="1"/>
  <c r="O564" i="1" s="1"/>
  <c r="M563" i="1"/>
  <c r="L563" i="1"/>
  <c r="K563" i="1"/>
  <c r="N563" i="1" s="1"/>
  <c r="O563" i="1" s="1"/>
  <c r="M562" i="1"/>
  <c r="L562" i="1"/>
  <c r="K562" i="1"/>
  <c r="N562" i="1" s="1"/>
  <c r="O562" i="1" s="1"/>
  <c r="M561" i="1"/>
  <c r="L561" i="1"/>
  <c r="K561" i="1"/>
  <c r="N561" i="1" s="1"/>
  <c r="O561" i="1" s="1"/>
  <c r="M560" i="1"/>
  <c r="L560" i="1"/>
  <c r="K560" i="1"/>
  <c r="N560" i="1" s="1"/>
  <c r="O560" i="1" s="1"/>
  <c r="M559" i="1"/>
  <c r="L559" i="1"/>
  <c r="K559" i="1"/>
  <c r="N559" i="1" s="1"/>
  <c r="O559" i="1" s="1"/>
  <c r="M558" i="1"/>
  <c r="L558" i="1"/>
  <c r="K558" i="1"/>
  <c r="N558" i="1" s="1"/>
  <c r="O558" i="1" s="1"/>
  <c r="M557" i="1"/>
  <c r="L557" i="1"/>
  <c r="K557" i="1"/>
  <c r="N557" i="1" s="1"/>
  <c r="O557" i="1" s="1"/>
  <c r="M556" i="1"/>
  <c r="L556" i="1"/>
  <c r="K556" i="1"/>
  <c r="N556" i="1" s="1"/>
  <c r="O556" i="1" s="1"/>
  <c r="M555" i="1"/>
  <c r="L555" i="1"/>
  <c r="K555" i="1"/>
  <c r="N555" i="1" s="1"/>
  <c r="O555" i="1" s="1"/>
  <c r="M554" i="1"/>
  <c r="L554" i="1"/>
  <c r="K554" i="1"/>
  <c r="N554" i="1" s="1"/>
  <c r="O554" i="1" s="1"/>
  <c r="M553" i="1"/>
  <c r="L553" i="1"/>
  <c r="K553" i="1"/>
  <c r="N553" i="1" s="1"/>
  <c r="O553" i="1" s="1"/>
  <c r="M552" i="1"/>
  <c r="L552" i="1"/>
  <c r="K552" i="1"/>
  <c r="N552" i="1" s="1"/>
  <c r="O552" i="1" s="1"/>
  <c r="M551" i="1"/>
  <c r="L551" i="1"/>
  <c r="K551" i="1"/>
  <c r="N551" i="1" s="1"/>
  <c r="O551" i="1" s="1"/>
  <c r="M550" i="1"/>
  <c r="L550" i="1"/>
  <c r="K550" i="1"/>
  <c r="N550" i="1" s="1"/>
  <c r="O550" i="1" s="1"/>
  <c r="M549" i="1"/>
  <c r="L549" i="1"/>
  <c r="K549" i="1"/>
  <c r="N549" i="1" s="1"/>
  <c r="O549" i="1" s="1"/>
  <c r="M548" i="1"/>
  <c r="L548" i="1"/>
  <c r="K548" i="1"/>
  <c r="N548" i="1" s="1"/>
  <c r="O548" i="1" s="1"/>
  <c r="M547" i="1"/>
  <c r="L547" i="1"/>
  <c r="K547" i="1"/>
  <c r="N547" i="1" s="1"/>
  <c r="O547" i="1" s="1"/>
  <c r="M546" i="1"/>
  <c r="L546" i="1"/>
  <c r="K546" i="1"/>
  <c r="N546" i="1" s="1"/>
  <c r="O546" i="1" s="1"/>
  <c r="M545" i="1"/>
  <c r="L545" i="1"/>
  <c r="K545" i="1"/>
  <c r="N545" i="1" s="1"/>
  <c r="O545" i="1" s="1"/>
  <c r="M544" i="1"/>
  <c r="L544" i="1"/>
  <c r="K544" i="1"/>
  <c r="N544" i="1" s="1"/>
  <c r="O544" i="1" s="1"/>
  <c r="M543" i="1"/>
  <c r="L543" i="1"/>
  <c r="K543" i="1"/>
  <c r="N543" i="1" s="1"/>
  <c r="O543" i="1" s="1"/>
  <c r="M542" i="1"/>
  <c r="L542" i="1"/>
  <c r="K542" i="1"/>
  <c r="N542" i="1" s="1"/>
  <c r="O542" i="1" s="1"/>
  <c r="M541" i="1"/>
  <c r="L541" i="1"/>
  <c r="K541" i="1"/>
  <c r="N541" i="1" s="1"/>
  <c r="O541" i="1" s="1"/>
  <c r="M540" i="1"/>
  <c r="L540" i="1"/>
  <c r="K540" i="1"/>
  <c r="N540" i="1" s="1"/>
  <c r="O540" i="1" s="1"/>
  <c r="M539" i="1"/>
  <c r="L539" i="1"/>
  <c r="K539" i="1"/>
  <c r="N539" i="1" s="1"/>
  <c r="O539" i="1" s="1"/>
  <c r="M538" i="1"/>
  <c r="L538" i="1"/>
  <c r="K538" i="1"/>
  <c r="N538" i="1" s="1"/>
  <c r="O538" i="1" s="1"/>
  <c r="M537" i="1"/>
  <c r="L537" i="1"/>
  <c r="K537" i="1"/>
  <c r="N537" i="1" s="1"/>
  <c r="O537" i="1" s="1"/>
  <c r="M536" i="1"/>
  <c r="L536" i="1"/>
  <c r="K536" i="1"/>
  <c r="N536" i="1" s="1"/>
  <c r="O536" i="1" s="1"/>
  <c r="M535" i="1"/>
  <c r="L535" i="1"/>
  <c r="K535" i="1"/>
  <c r="N535" i="1" s="1"/>
  <c r="O535" i="1" s="1"/>
  <c r="M534" i="1"/>
  <c r="L534" i="1"/>
  <c r="K534" i="1"/>
  <c r="N534" i="1" s="1"/>
  <c r="O534" i="1" s="1"/>
  <c r="M533" i="1"/>
  <c r="L533" i="1"/>
  <c r="K533" i="1"/>
  <c r="N533" i="1" s="1"/>
  <c r="O533" i="1" s="1"/>
  <c r="M532" i="1"/>
  <c r="L532" i="1"/>
  <c r="K532" i="1"/>
  <c r="N532" i="1" s="1"/>
  <c r="O532" i="1" s="1"/>
  <c r="M531" i="1"/>
  <c r="L531" i="1"/>
  <c r="K531" i="1"/>
  <c r="N531" i="1" s="1"/>
  <c r="O531" i="1" s="1"/>
  <c r="M530" i="1"/>
  <c r="L530" i="1"/>
  <c r="K530" i="1"/>
  <c r="N530" i="1" s="1"/>
  <c r="O530" i="1" s="1"/>
  <c r="M529" i="1"/>
  <c r="L529" i="1"/>
  <c r="K529" i="1"/>
  <c r="N529" i="1" s="1"/>
  <c r="O529" i="1" s="1"/>
  <c r="M528" i="1"/>
  <c r="L528" i="1"/>
  <c r="K528" i="1"/>
  <c r="N528" i="1" s="1"/>
  <c r="O528" i="1" s="1"/>
  <c r="M527" i="1"/>
  <c r="L527" i="1"/>
  <c r="K527" i="1"/>
  <c r="N527" i="1" s="1"/>
  <c r="O527" i="1" s="1"/>
  <c r="M526" i="1"/>
  <c r="L526" i="1"/>
  <c r="K526" i="1"/>
  <c r="N526" i="1" s="1"/>
  <c r="O526" i="1" s="1"/>
  <c r="M525" i="1"/>
  <c r="L525" i="1"/>
  <c r="K525" i="1"/>
  <c r="N525" i="1" s="1"/>
  <c r="O525" i="1" s="1"/>
  <c r="M524" i="1"/>
  <c r="L524" i="1"/>
  <c r="K524" i="1"/>
  <c r="N524" i="1" s="1"/>
  <c r="O524" i="1" s="1"/>
  <c r="M523" i="1"/>
  <c r="L523" i="1"/>
  <c r="K523" i="1"/>
  <c r="N523" i="1" s="1"/>
  <c r="O523" i="1" s="1"/>
  <c r="M522" i="1"/>
  <c r="L522" i="1"/>
  <c r="K522" i="1"/>
  <c r="N522" i="1" s="1"/>
  <c r="O522" i="1" s="1"/>
  <c r="M521" i="1"/>
  <c r="L521" i="1"/>
  <c r="K521" i="1"/>
  <c r="N521" i="1" s="1"/>
  <c r="O521" i="1" s="1"/>
  <c r="M520" i="1"/>
  <c r="L520" i="1"/>
  <c r="K520" i="1"/>
  <c r="N520" i="1" s="1"/>
  <c r="O520" i="1" s="1"/>
  <c r="M519" i="1"/>
  <c r="L519" i="1"/>
  <c r="K519" i="1"/>
  <c r="N519" i="1" s="1"/>
  <c r="O519" i="1" s="1"/>
  <c r="M518" i="1"/>
  <c r="L518" i="1"/>
  <c r="K518" i="1"/>
  <c r="N518" i="1" s="1"/>
  <c r="O518" i="1" s="1"/>
  <c r="M517" i="1"/>
  <c r="L517" i="1"/>
  <c r="K517" i="1"/>
  <c r="N517" i="1" s="1"/>
  <c r="O517" i="1" s="1"/>
  <c r="M516" i="1"/>
  <c r="L516" i="1"/>
  <c r="K516" i="1"/>
  <c r="N516" i="1" s="1"/>
  <c r="O516" i="1" s="1"/>
  <c r="M515" i="1"/>
  <c r="L515" i="1"/>
  <c r="K515" i="1"/>
  <c r="N515" i="1" s="1"/>
  <c r="O515" i="1" s="1"/>
  <c r="M514" i="1"/>
  <c r="L514" i="1"/>
  <c r="K514" i="1"/>
  <c r="N514" i="1" s="1"/>
  <c r="O514" i="1" s="1"/>
  <c r="M513" i="1"/>
  <c r="L513" i="1"/>
  <c r="K513" i="1"/>
  <c r="N513" i="1" s="1"/>
  <c r="O513" i="1" s="1"/>
  <c r="M512" i="1"/>
  <c r="L512" i="1"/>
  <c r="K512" i="1"/>
  <c r="N512" i="1" s="1"/>
  <c r="O512" i="1" s="1"/>
  <c r="M511" i="1"/>
  <c r="L511" i="1"/>
  <c r="K511" i="1"/>
  <c r="N511" i="1" s="1"/>
  <c r="O511" i="1" s="1"/>
  <c r="M510" i="1"/>
  <c r="L510" i="1"/>
  <c r="K510" i="1"/>
  <c r="N510" i="1" s="1"/>
  <c r="O510" i="1" s="1"/>
  <c r="M509" i="1"/>
  <c r="L509" i="1"/>
  <c r="K509" i="1"/>
  <c r="N509" i="1" s="1"/>
  <c r="O509" i="1" s="1"/>
  <c r="M508" i="1"/>
  <c r="L508" i="1"/>
  <c r="K508" i="1"/>
  <c r="N508" i="1" s="1"/>
  <c r="O508" i="1" s="1"/>
  <c r="M507" i="1"/>
  <c r="L507" i="1"/>
  <c r="K507" i="1"/>
  <c r="N507" i="1" s="1"/>
  <c r="O507" i="1" s="1"/>
  <c r="M506" i="1"/>
  <c r="L506" i="1"/>
  <c r="K506" i="1"/>
  <c r="N506" i="1" s="1"/>
  <c r="O506" i="1" s="1"/>
  <c r="M505" i="1"/>
  <c r="L505" i="1"/>
  <c r="K505" i="1"/>
  <c r="N505" i="1" s="1"/>
  <c r="O505" i="1" s="1"/>
  <c r="M504" i="1"/>
  <c r="L504" i="1"/>
  <c r="K504" i="1"/>
  <c r="N504" i="1" s="1"/>
  <c r="O504" i="1" s="1"/>
  <c r="M503" i="1"/>
  <c r="L503" i="1"/>
  <c r="K503" i="1"/>
  <c r="N503" i="1" s="1"/>
  <c r="O503" i="1" s="1"/>
  <c r="M502" i="1"/>
  <c r="L502" i="1"/>
  <c r="K502" i="1"/>
  <c r="N502" i="1" s="1"/>
  <c r="O502" i="1" s="1"/>
  <c r="M501" i="1"/>
  <c r="L501" i="1"/>
  <c r="K501" i="1"/>
  <c r="N501" i="1" s="1"/>
  <c r="O501" i="1" s="1"/>
  <c r="M500" i="1"/>
  <c r="L500" i="1"/>
  <c r="K500" i="1"/>
  <c r="N500" i="1" s="1"/>
  <c r="O500" i="1" s="1"/>
  <c r="M499" i="1"/>
  <c r="L499" i="1"/>
  <c r="K499" i="1"/>
  <c r="N499" i="1" s="1"/>
  <c r="O499" i="1" s="1"/>
  <c r="M498" i="1"/>
  <c r="L498" i="1"/>
  <c r="K498" i="1"/>
  <c r="N498" i="1" s="1"/>
  <c r="O498" i="1" s="1"/>
  <c r="M497" i="1"/>
  <c r="L497" i="1"/>
  <c r="K497" i="1"/>
  <c r="N497" i="1" s="1"/>
  <c r="O497" i="1" s="1"/>
  <c r="M496" i="1"/>
  <c r="L496" i="1"/>
  <c r="K496" i="1"/>
  <c r="N496" i="1" s="1"/>
  <c r="O496" i="1" s="1"/>
  <c r="M495" i="1"/>
  <c r="L495" i="1"/>
  <c r="K495" i="1"/>
  <c r="N495" i="1" s="1"/>
  <c r="O495" i="1" s="1"/>
  <c r="M494" i="1"/>
  <c r="L494" i="1"/>
  <c r="K494" i="1"/>
  <c r="N494" i="1" s="1"/>
  <c r="O494" i="1" s="1"/>
  <c r="M493" i="1"/>
  <c r="L493" i="1"/>
  <c r="K493" i="1"/>
  <c r="N493" i="1" s="1"/>
  <c r="O493" i="1" s="1"/>
  <c r="M492" i="1"/>
  <c r="L492" i="1"/>
  <c r="K492" i="1"/>
  <c r="N492" i="1" s="1"/>
  <c r="O492" i="1" s="1"/>
  <c r="M491" i="1"/>
  <c r="L491" i="1"/>
  <c r="K491" i="1"/>
  <c r="N491" i="1" s="1"/>
  <c r="O491" i="1" s="1"/>
  <c r="M490" i="1"/>
  <c r="L490" i="1"/>
  <c r="K490" i="1"/>
  <c r="N490" i="1" s="1"/>
  <c r="O490" i="1" s="1"/>
  <c r="M489" i="1"/>
  <c r="L489" i="1"/>
  <c r="K489" i="1"/>
  <c r="N489" i="1" s="1"/>
  <c r="O489" i="1" s="1"/>
  <c r="M488" i="1"/>
  <c r="L488" i="1"/>
  <c r="K488" i="1"/>
  <c r="N488" i="1" s="1"/>
  <c r="O488" i="1" s="1"/>
  <c r="M487" i="1"/>
  <c r="L487" i="1"/>
  <c r="K487" i="1"/>
  <c r="N487" i="1" s="1"/>
  <c r="O487" i="1" s="1"/>
  <c r="M486" i="1"/>
  <c r="L486" i="1"/>
  <c r="K486" i="1"/>
  <c r="N486" i="1" s="1"/>
  <c r="O486" i="1" s="1"/>
  <c r="M485" i="1"/>
  <c r="L485" i="1"/>
  <c r="K485" i="1"/>
  <c r="N485" i="1" s="1"/>
  <c r="O485" i="1" s="1"/>
  <c r="M484" i="1"/>
  <c r="L484" i="1"/>
  <c r="K484" i="1"/>
  <c r="N484" i="1" s="1"/>
  <c r="O484" i="1" s="1"/>
  <c r="M483" i="1"/>
  <c r="L483" i="1"/>
  <c r="K483" i="1"/>
  <c r="N483" i="1" s="1"/>
  <c r="O483" i="1" s="1"/>
  <c r="M482" i="1"/>
  <c r="L482" i="1"/>
  <c r="K482" i="1"/>
  <c r="N482" i="1" s="1"/>
  <c r="O482" i="1" s="1"/>
  <c r="M481" i="1"/>
  <c r="L481" i="1"/>
  <c r="K481" i="1"/>
  <c r="N481" i="1" s="1"/>
  <c r="O481" i="1" s="1"/>
  <c r="M480" i="1"/>
  <c r="L480" i="1"/>
  <c r="K480" i="1"/>
  <c r="N480" i="1" s="1"/>
  <c r="O480" i="1" s="1"/>
  <c r="M479" i="1"/>
  <c r="L479" i="1"/>
  <c r="K479" i="1"/>
  <c r="N479" i="1" s="1"/>
  <c r="O479" i="1" s="1"/>
  <c r="M478" i="1"/>
  <c r="L478" i="1"/>
  <c r="K478" i="1"/>
  <c r="N478" i="1" s="1"/>
  <c r="O478" i="1" s="1"/>
  <c r="M477" i="1"/>
  <c r="L477" i="1"/>
  <c r="K477" i="1"/>
  <c r="N477" i="1" s="1"/>
  <c r="O477" i="1" s="1"/>
  <c r="M476" i="1"/>
  <c r="L476" i="1"/>
  <c r="K476" i="1"/>
  <c r="N476" i="1" s="1"/>
  <c r="O476" i="1" s="1"/>
  <c r="M475" i="1"/>
  <c r="L475" i="1"/>
  <c r="K475" i="1"/>
  <c r="N475" i="1" s="1"/>
  <c r="O475" i="1" s="1"/>
  <c r="M474" i="1"/>
  <c r="L474" i="1"/>
  <c r="K474" i="1"/>
  <c r="N474" i="1" s="1"/>
  <c r="O474" i="1" s="1"/>
  <c r="M473" i="1"/>
  <c r="L473" i="1"/>
  <c r="K473" i="1"/>
  <c r="N473" i="1" s="1"/>
  <c r="O473" i="1" s="1"/>
  <c r="M472" i="1"/>
  <c r="L472" i="1"/>
  <c r="K472" i="1"/>
  <c r="N472" i="1" s="1"/>
  <c r="O472" i="1" s="1"/>
  <c r="M471" i="1"/>
  <c r="L471" i="1"/>
  <c r="K471" i="1"/>
  <c r="N471" i="1" s="1"/>
  <c r="O471" i="1" s="1"/>
  <c r="M470" i="1"/>
  <c r="L470" i="1"/>
  <c r="K470" i="1"/>
  <c r="N470" i="1" s="1"/>
  <c r="O470" i="1" s="1"/>
  <c r="M469" i="1"/>
  <c r="L469" i="1"/>
  <c r="K469" i="1"/>
  <c r="N469" i="1" s="1"/>
  <c r="O469" i="1" s="1"/>
  <c r="M468" i="1"/>
  <c r="L468" i="1"/>
  <c r="K468" i="1"/>
  <c r="N468" i="1" s="1"/>
  <c r="O468" i="1" s="1"/>
  <c r="M467" i="1"/>
  <c r="L467" i="1"/>
  <c r="K467" i="1"/>
  <c r="N467" i="1" s="1"/>
  <c r="O467" i="1" s="1"/>
  <c r="M466" i="1"/>
  <c r="L466" i="1"/>
  <c r="K466" i="1"/>
  <c r="N466" i="1" s="1"/>
  <c r="O466" i="1" s="1"/>
  <c r="M465" i="1"/>
  <c r="L465" i="1"/>
  <c r="K465" i="1"/>
  <c r="N465" i="1" s="1"/>
  <c r="O465" i="1" s="1"/>
  <c r="M464" i="1"/>
  <c r="L464" i="1"/>
  <c r="K464" i="1"/>
  <c r="N464" i="1" s="1"/>
  <c r="O464" i="1" s="1"/>
  <c r="M463" i="1"/>
  <c r="L463" i="1"/>
  <c r="K463" i="1"/>
  <c r="N463" i="1" s="1"/>
  <c r="O463" i="1" s="1"/>
  <c r="M462" i="1"/>
  <c r="L462" i="1"/>
  <c r="K462" i="1"/>
  <c r="N462" i="1" s="1"/>
  <c r="O462" i="1" s="1"/>
  <c r="M461" i="1"/>
  <c r="L461" i="1"/>
  <c r="K461" i="1"/>
  <c r="N461" i="1" s="1"/>
  <c r="O461" i="1" s="1"/>
  <c r="M460" i="1"/>
  <c r="L460" i="1"/>
  <c r="K460" i="1"/>
  <c r="N460" i="1" s="1"/>
  <c r="O460" i="1" s="1"/>
  <c r="M459" i="1"/>
  <c r="L459" i="1"/>
  <c r="K459" i="1"/>
  <c r="N459" i="1" s="1"/>
  <c r="O459" i="1" s="1"/>
  <c r="M458" i="1"/>
  <c r="L458" i="1"/>
  <c r="K458" i="1"/>
  <c r="N458" i="1" s="1"/>
  <c r="O458" i="1" s="1"/>
  <c r="M457" i="1"/>
  <c r="L457" i="1"/>
  <c r="K457" i="1"/>
  <c r="N457" i="1" s="1"/>
  <c r="O457" i="1" s="1"/>
  <c r="M456" i="1"/>
  <c r="L456" i="1"/>
  <c r="K456" i="1"/>
  <c r="N456" i="1" s="1"/>
  <c r="O456" i="1" s="1"/>
  <c r="M455" i="1"/>
  <c r="L455" i="1"/>
  <c r="K455" i="1"/>
  <c r="N455" i="1" s="1"/>
  <c r="O455" i="1" s="1"/>
  <c r="M454" i="1"/>
  <c r="L454" i="1"/>
  <c r="K454" i="1"/>
  <c r="N454" i="1" s="1"/>
  <c r="O454" i="1" s="1"/>
  <c r="M453" i="1"/>
  <c r="L453" i="1"/>
  <c r="K453" i="1"/>
  <c r="N453" i="1" s="1"/>
  <c r="O453" i="1" s="1"/>
  <c r="M452" i="1"/>
  <c r="L452" i="1"/>
  <c r="K452" i="1"/>
  <c r="N452" i="1" s="1"/>
  <c r="O452" i="1" s="1"/>
  <c r="M451" i="1"/>
  <c r="L451" i="1"/>
  <c r="K451" i="1"/>
  <c r="N451" i="1" s="1"/>
  <c r="O451" i="1" s="1"/>
  <c r="M450" i="1"/>
  <c r="L450" i="1"/>
  <c r="K450" i="1"/>
  <c r="N450" i="1" s="1"/>
  <c r="O450" i="1" s="1"/>
  <c r="M449" i="1"/>
  <c r="L449" i="1"/>
  <c r="K449" i="1"/>
  <c r="N449" i="1" s="1"/>
  <c r="O449" i="1" s="1"/>
  <c r="M448" i="1"/>
  <c r="L448" i="1"/>
  <c r="K448" i="1"/>
  <c r="N448" i="1" s="1"/>
  <c r="O448" i="1" s="1"/>
  <c r="M447" i="1"/>
  <c r="L447" i="1"/>
  <c r="K447" i="1"/>
  <c r="N447" i="1" s="1"/>
  <c r="O447" i="1" s="1"/>
  <c r="M446" i="1"/>
  <c r="L446" i="1"/>
  <c r="K446" i="1"/>
  <c r="N446" i="1" s="1"/>
  <c r="O446" i="1" s="1"/>
  <c r="M445" i="1"/>
  <c r="L445" i="1"/>
  <c r="K445" i="1"/>
  <c r="N445" i="1" s="1"/>
  <c r="O445" i="1" s="1"/>
  <c r="M444" i="1"/>
  <c r="L444" i="1"/>
  <c r="K444" i="1"/>
  <c r="N444" i="1" s="1"/>
  <c r="O444" i="1" s="1"/>
  <c r="M443" i="1"/>
  <c r="L443" i="1"/>
  <c r="K443" i="1"/>
  <c r="N443" i="1" s="1"/>
  <c r="O443" i="1" s="1"/>
  <c r="M442" i="1"/>
  <c r="L442" i="1"/>
  <c r="K442" i="1"/>
  <c r="N442" i="1" s="1"/>
  <c r="O442" i="1" s="1"/>
  <c r="M441" i="1"/>
  <c r="L441" i="1"/>
  <c r="K441" i="1"/>
  <c r="N441" i="1" s="1"/>
  <c r="O441" i="1" s="1"/>
  <c r="M440" i="1"/>
  <c r="L440" i="1"/>
  <c r="K440" i="1"/>
  <c r="N440" i="1" s="1"/>
  <c r="O440" i="1" s="1"/>
  <c r="M439" i="1"/>
  <c r="L439" i="1"/>
  <c r="K439" i="1"/>
  <c r="N439" i="1" s="1"/>
  <c r="O439" i="1" s="1"/>
  <c r="M438" i="1"/>
  <c r="L438" i="1"/>
  <c r="K438" i="1"/>
  <c r="N438" i="1" s="1"/>
  <c r="O438" i="1" s="1"/>
  <c r="M437" i="1"/>
  <c r="L437" i="1"/>
  <c r="K437" i="1"/>
  <c r="N437" i="1" s="1"/>
  <c r="O437" i="1" s="1"/>
  <c r="M436" i="1"/>
  <c r="L436" i="1"/>
  <c r="K436" i="1"/>
  <c r="N436" i="1" s="1"/>
  <c r="O436" i="1" s="1"/>
  <c r="M435" i="1"/>
  <c r="L435" i="1"/>
  <c r="K435" i="1"/>
  <c r="N435" i="1" s="1"/>
  <c r="O435" i="1" s="1"/>
  <c r="M434" i="1"/>
  <c r="L434" i="1"/>
  <c r="K434" i="1"/>
  <c r="N434" i="1" s="1"/>
  <c r="O434" i="1" s="1"/>
  <c r="M433" i="1"/>
  <c r="L433" i="1"/>
  <c r="K433" i="1"/>
  <c r="N433" i="1" s="1"/>
  <c r="O433" i="1" s="1"/>
  <c r="M432" i="1"/>
  <c r="L432" i="1"/>
  <c r="K432" i="1"/>
  <c r="N432" i="1" s="1"/>
  <c r="O432" i="1" s="1"/>
  <c r="M431" i="1"/>
  <c r="L431" i="1"/>
  <c r="K431" i="1"/>
  <c r="N431" i="1" s="1"/>
  <c r="O431" i="1" s="1"/>
  <c r="M430" i="1"/>
  <c r="L430" i="1"/>
  <c r="K430" i="1"/>
  <c r="N430" i="1" s="1"/>
  <c r="O430" i="1" s="1"/>
  <c r="M429" i="1"/>
  <c r="L429" i="1"/>
  <c r="K429" i="1"/>
  <c r="N429" i="1" s="1"/>
  <c r="O429" i="1" s="1"/>
  <c r="M428" i="1"/>
  <c r="L428" i="1"/>
  <c r="K428" i="1"/>
  <c r="N428" i="1" s="1"/>
  <c r="O428" i="1" s="1"/>
  <c r="M427" i="1"/>
  <c r="L427" i="1"/>
  <c r="K427" i="1"/>
  <c r="N427" i="1" s="1"/>
  <c r="O427" i="1" s="1"/>
  <c r="M426" i="1"/>
  <c r="L426" i="1"/>
  <c r="K426" i="1"/>
  <c r="N426" i="1" s="1"/>
  <c r="O426" i="1" s="1"/>
  <c r="M425" i="1"/>
  <c r="L425" i="1"/>
  <c r="K425" i="1"/>
  <c r="N425" i="1" s="1"/>
  <c r="O425" i="1" s="1"/>
  <c r="M424" i="1"/>
  <c r="L424" i="1"/>
  <c r="K424" i="1"/>
  <c r="N424" i="1" s="1"/>
  <c r="O424" i="1" s="1"/>
  <c r="M423" i="1"/>
  <c r="L423" i="1"/>
  <c r="K423" i="1"/>
  <c r="N423" i="1" s="1"/>
  <c r="O423" i="1" s="1"/>
  <c r="M422" i="1"/>
  <c r="L422" i="1"/>
  <c r="K422" i="1"/>
  <c r="N422" i="1" s="1"/>
  <c r="O422" i="1" s="1"/>
  <c r="M421" i="1"/>
  <c r="L421" i="1"/>
  <c r="K421" i="1"/>
  <c r="N421" i="1" s="1"/>
  <c r="O421" i="1" s="1"/>
  <c r="M420" i="1"/>
  <c r="L420" i="1"/>
  <c r="K420" i="1"/>
  <c r="N420" i="1" s="1"/>
  <c r="O420" i="1" s="1"/>
  <c r="M419" i="1"/>
  <c r="L419" i="1"/>
  <c r="K419" i="1"/>
  <c r="N419" i="1" s="1"/>
  <c r="O419" i="1" s="1"/>
  <c r="M418" i="1"/>
  <c r="L418" i="1"/>
  <c r="K418" i="1"/>
  <c r="N418" i="1" s="1"/>
  <c r="O418" i="1" s="1"/>
  <c r="M417" i="1"/>
  <c r="L417" i="1"/>
  <c r="K417" i="1"/>
  <c r="N417" i="1" s="1"/>
  <c r="O417" i="1" s="1"/>
  <c r="M416" i="1"/>
  <c r="L416" i="1"/>
  <c r="K416" i="1"/>
  <c r="N416" i="1" s="1"/>
  <c r="O416" i="1" s="1"/>
  <c r="M415" i="1"/>
  <c r="L415" i="1"/>
  <c r="K415" i="1"/>
  <c r="N415" i="1" s="1"/>
  <c r="O415" i="1" s="1"/>
  <c r="M414" i="1"/>
  <c r="L414" i="1"/>
  <c r="K414" i="1"/>
  <c r="N414" i="1" s="1"/>
  <c r="O414" i="1" s="1"/>
  <c r="M413" i="1"/>
  <c r="L413" i="1"/>
  <c r="K413" i="1"/>
  <c r="N413" i="1" s="1"/>
  <c r="O413" i="1" s="1"/>
  <c r="M412" i="1"/>
  <c r="L412" i="1"/>
  <c r="K412" i="1"/>
  <c r="N412" i="1" s="1"/>
  <c r="O412" i="1" s="1"/>
  <c r="M411" i="1"/>
  <c r="L411" i="1"/>
  <c r="K411" i="1"/>
  <c r="N411" i="1" s="1"/>
  <c r="O411" i="1" s="1"/>
  <c r="M410" i="1"/>
  <c r="L410" i="1"/>
  <c r="K410" i="1"/>
  <c r="N410" i="1" s="1"/>
  <c r="O410" i="1" s="1"/>
  <c r="M409" i="1"/>
  <c r="L409" i="1"/>
  <c r="K409" i="1"/>
  <c r="N409" i="1" s="1"/>
  <c r="O409" i="1" s="1"/>
  <c r="M408" i="1"/>
  <c r="L408" i="1"/>
  <c r="K408" i="1"/>
  <c r="N408" i="1" s="1"/>
  <c r="O408" i="1" s="1"/>
  <c r="M407" i="1"/>
  <c r="L407" i="1"/>
  <c r="K407" i="1"/>
  <c r="N407" i="1" s="1"/>
  <c r="O407" i="1" s="1"/>
  <c r="M406" i="1"/>
  <c r="L406" i="1"/>
  <c r="K406" i="1"/>
  <c r="N406" i="1" s="1"/>
  <c r="O406" i="1" s="1"/>
  <c r="M405" i="1"/>
  <c r="L405" i="1"/>
  <c r="K405" i="1"/>
  <c r="N405" i="1" s="1"/>
  <c r="O405" i="1" s="1"/>
  <c r="M404" i="1"/>
  <c r="L404" i="1"/>
  <c r="K404" i="1"/>
  <c r="N404" i="1" s="1"/>
  <c r="O404" i="1" s="1"/>
  <c r="M403" i="1"/>
  <c r="L403" i="1"/>
  <c r="K403" i="1"/>
  <c r="N403" i="1" s="1"/>
  <c r="O403" i="1" s="1"/>
  <c r="M402" i="1"/>
  <c r="L402" i="1"/>
  <c r="K402" i="1"/>
  <c r="N402" i="1" s="1"/>
  <c r="O402" i="1" s="1"/>
  <c r="M401" i="1"/>
  <c r="L401" i="1"/>
  <c r="K401" i="1"/>
  <c r="N401" i="1" s="1"/>
  <c r="O401" i="1" s="1"/>
  <c r="M400" i="1"/>
  <c r="L400" i="1"/>
  <c r="K400" i="1"/>
  <c r="N400" i="1" s="1"/>
  <c r="O400" i="1" s="1"/>
  <c r="M399" i="1"/>
  <c r="L399" i="1"/>
  <c r="K399" i="1"/>
  <c r="N399" i="1" s="1"/>
  <c r="O399" i="1" s="1"/>
  <c r="M398" i="1"/>
  <c r="L398" i="1"/>
  <c r="K398" i="1"/>
  <c r="N398" i="1" s="1"/>
  <c r="O398" i="1" s="1"/>
  <c r="M397" i="1"/>
  <c r="L397" i="1"/>
  <c r="K397" i="1"/>
  <c r="N397" i="1" s="1"/>
  <c r="O397" i="1" s="1"/>
  <c r="M396" i="1"/>
  <c r="L396" i="1"/>
  <c r="K396" i="1"/>
  <c r="N396" i="1" s="1"/>
  <c r="O396" i="1" s="1"/>
  <c r="M395" i="1"/>
  <c r="L395" i="1"/>
  <c r="K395" i="1"/>
  <c r="N395" i="1" s="1"/>
  <c r="O395" i="1" s="1"/>
  <c r="M394" i="1"/>
  <c r="L394" i="1"/>
  <c r="K394" i="1"/>
  <c r="N394" i="1" s="1"/>
  <c r="O394" i="1" s="1"/>
  <c r="M393" i="1"/>
  <c r="L393" i="1"/>
  <c r="K393" i="1"/>
  <c r="N393" i="1" s="1"/>
  <c r="O393" i="1" s="1"/>
  <c r="M392" i="1"/>
  <c r="L392" i="1"/>
  <c r="K392" i="1"/>
  <c r="N392" i="1" s="1"/>
  <c r="O392" i="1" s="1"/>
  <c r="M391" i="1"/>
  <c r="L391" i="1"/>
  <c r="K391" i="1"/>
  <c r="N391" i="1" s="1"/>
  <c r="O391" i="1" s="1"/>
  <c r="M390" i="1"/>
  <c r="L390" i="1"/>
  <c r="K390" i="1"/>
  <c r="N390" i="1" s="1"/>
  <c r="O390" i="1" s="1"/>
  <c r="M389" i="1"/>
  <c r="L389" i="1"/>
  <c r="K389" i="1"/>
  <c r="N389" i="1" s="1"/>
  <c r="O389" i="1" s="1"/>
  <c r="M388" i="1"/>
  <c r="L388" i="1"/>
  <c r="K388" i="1"/>
  <c r="N388" i="1" s="1"/>
  <c r="O388" i="1" s="1"/>
  <c r="M387" i="1"/>
  <c r="L387" i="1"/>
  <c r="K387" i="1"/>
  <c r="N387" i="1" s="1"/>
  <c r="O387" i="1" s="1"/>
  <c r="M386" i="1"/>
  <c r="L386" i="1"/>
  <c r="K386" i="1"/>
  <c r="N386" i="1" s="1"/>
  <c r="O386" i="1" s="1"/>
  <c r="M385" i="1"/>
  <c r="L385" i="1"/>
  <c r="K385" i="1"/>
  <c r="N385" i="1" s="1"/>
  <c r="O385" i="1" s="1"/>
  <c r="M384" i="1"/>
  <c r="L384" i="1"/>
  <c r="K384" i="1"/>
  <c r="N384" i="1" s="1"/>
  <c r="O384" i="1" s="1"/>
  <c r="M383" i="1"/>
  <c r="L383" i="1"/>
  <c r="K383" i="1"/>
  <c r="N383" i="1" s="1"/>
  <c r="O383" i="1" s="1"/>
  <c r="M382" i="1"/>
  <c r="L382" i="1"/>
  <c r="K382" i="1"/>
  <c r="N382" i="1" s="1"/>
  <c r="O382" i="1" s="1"/>
  <c r="M381" i="1"/>
  <c r="L381" i="1"/>
  <c r="K381" i="1"/>
  <c r="N381" i="1" s="1"/>
  <c r="O381" i="1" s="1"/>
  <c r="M380" i="1"/>
  <c r="L380" i="1"/>
  <c r="K380" i="1"/>
  <c r="N380" i="1" s="1"/>
  <c r="O380" i="1" s="1"/>
  <c r="M379" i="1"/>
  <c r="L379" i="1"/>
  <c r="K379" i="1"/>
  <c r="N379" i="1" s="1"/>
  <c r="O379" i="1" s="1"/>
  <c r="M378" i="1"/>
  <c r="L378" i="1"/>
  <c r="K378" i="1"/>
  <c r="N378" i="1" s="1"/>
  <c r="O378" i="1" s="1"/>
  <c r="M377" i="1"/>
  <c r="L377" i="1"/>
  <c r="K377" i="1"/>
  <c r="N377" i="1" s="1"/>
  <c r="O377" i="1" s="1"/>
  <c r="M376" i="1"/>
  <c r="L376" i="1"/>
  <c r="K376" i="1"/>
  <c r="N376" i="1" s="1"/>
  <c r="O376" i="1" s="1"/>
  <c r="M375" i="1"/>
  <c r="L375" i="1"/>
  <c r="K375" i="1"/>
  <c r="N375" i="1" s="1"/>
  <c r="O375" i="1" s="1"/>
  <c r="M374" i="1"/>
  <c r="L374" i="1"/>
  <c r="K374" i="1"/>
  <c r="N374" i="1" s="1"/>
  <c r="O374" i="1" s="1"/>
  <c r="M373" i="1"/>
  <c r="L373" i="1"/>
  <c r="K373" i="1"/>
  <c r="N373" i="1" s="1"/>
  <c r="O373" i="1" s="1"/>
  <c r="M372" i="1"/>
  <c r="L372" i="1"/>
  <c r="K372" i="1"/>
  <c r="N372" i="1" s="1"/>
  <c r="O372" i="1" s="1"/>
  <c r="M371" i="1"/>
  <c r="L371" i="1"/>
  <c r="K371" i="1"/>
  <c r="N371" i="1" s="1"/>
  <c r="O371" i="1" s="1"/>
  <c r="M370" i="1"/>
  <c r="L370" i="1"/>
  <c r="K370" i="1"/>
  <c r="N370" i="1" s="1"/>
  <c r="O370" i="1" s="1"/>
  <c r="M369" i="1"/>
  <c r="L369" i="1"/>
  <c r="K369" i="1"/>
  <c r="N369" i="1" s="1"/>
  <c r="O369" i="1" s="1"/>
  <c r="M368" i="1"/>
  <c r="L368" i="1"/>
  <c r="K368" i="1"/>
  <c r="N368" i="1" s="1"/>
  <c r="O368" i="1" s="1"/>
  <c r="M367" i="1"/>
  <c r="L367" i="1"/>
  <c r="K367" i="1"/>
  <c r="N367" i="1" s="1"/>
  <c r="O367" i="1" s="1"/>
  <c r="M366" i="1"/>
  <c r="L366" i="1"/>
  <c r="K366" i="1"/>
  <c r="N366" i="1" s="1"/>
  <c r="O366" i="1" s="1"/>
  <c r="M365" i="1"/>
  <c r="L365" i="1"/>
  <c r="K365" i="1"/>
  <c r="N365" i="1" s="1"/>
  <c r="O365" i="1" s="1"/>
  <c r="M364" i="1"/>
  <c r="L364" i="1"/>
  <c r="K364" i="1"/>
  <c r="N364" i="1" s="1"/>
  <c r="O364" i="1" s="1"/>
  <c r="M363" i="1"/>
  <c r="L363" i="1"/>
  <c r="K363" i="1"/>
  <c r="N363" i="1" s="1"/>
  <c r="O363" i="1" s="1"/>
  <c r="M362" i="1"/>
  <c r="L362" i="1"/>
  <c r="K362" i="1"/>
  <c r="N362" i="1" s="1"/>
  <c r="O362" i="1" s="1"/>
  <c r="M361" i="1"/>
  <c r="L361" i="1"/>
  <c r="K361" i="1"/>
  <c r="N361" i="1" s="1"/>
  <c r="O361" i="1" s="1"/>
  <c r="M360" i="1"/>
  <c r="L360" i="1"/>
  <c r="K360" i="1"/>
  <c r="N360" i="1" s="1"/>
  <c r="O360" i="1" s="1"/>
  <c r="M359" i="1"/>
  <c r="L359" i="1"/>
  <c r="K359" i="1"/>
  <c r="N359" i="1" s="1"/>
  <c r="O359" i="1" s="1"/>
  <c r="M358" i="1"/>
  <c r="L358" i="1"/>
  <c r="K358" i="1"/>
  <c r="N358" i="1" s="1"/>
  <c r="O358" i="1" s="1"/>
  <c r="M357" i="1"/>
  <c r="L357" i="1"/>
  <c r="K357" i="1"/>
  <c r="N357" i="1" s="1"/>
  <c r="O357" i="1" s="1"/>
  <c r="M356" i="1"/>
  <c r="L356" i="1"/>
  <c r="K356" i="1"/>
  <c r="N356" i="1" s="1"/>
  <c r="O356" i="1" s="1"/>
  <c r="M355" i="1"/>
  <c r="L355" i="1"/>
  <c r="K355" i="1"/>
  <c r="N355" i="1" s="1"/>
  <c r="O355" i="1" s="1"/>
  <c r="M354" i="1"/>
  <c r="L354" i="1"/>
  <c r="K354" i="1"/>
  <c r="N354" i="1" s="1"/>
  <c r="O354" i="1" s="1"/>
  <c r="M353" i="1"/>
  <c r="L353" i="1"/>
  <c r="K353" i="1"/>
  <c r="N353" i="1" s="1"/>
  <c r="O353" i="1" s="1"/>
  <c r="M352" i="1"/>
  <c r="L352" i="1"/>
  <c r="K352" i="1"/>
  <c r="N352" i="1" s="1"/>
  <c r="O352" i="1" s="1"/>
  <c r="M351" i="1"/>
  <c r="L351" i="1"/>
  <c r="K351" i="1"/>
  <c r="N351" i="1" s="1"/>
  <c r="O351" i="1" s="1"/>
  <c r="M350" i="1"/>
  <c r="L350" i="1"/>
  <c r="K350" i="1"/>
  <c r="N350" i="1" s="1"/>
  <c r="O350" i="1" s="1"/>
  <c r="M349" i="1"/>
  <c r="L349" i="1"/>
  <c r="K349" i="1"/>
  <c r="N349" i="1" s="1"/>
  <c r="O349" i="1" s="1"/>
  <c r="M348" i="1"/>
  <c r="L348" i="1"/>
  <c r="K348" i="1"/>
  <c r="N348" i="1" s="1"/>
  <c r="O348" i="1" s="1"/>
  <c r="M347" i="1"/>
  <c r="L347" i="1"/>
  <c r="K347" i="1"/>
  <c r="N347" i="1" s="1"/>
  <c r="O347" i="1" s="1"/>
  <c r="M346" i="1"/>
  <c r="L346" i="1"/>
  <c r="K346" i="1"/>
  <c r="N346" i="1" s="1"/>
  <c r="O346" i="1" s="1"/>
  <c r="M345" i="1"/>
  <c r="L345" i="1"/>
  <c r="K345" i="1"/>
  <c r="N345" i="1" s="1"/>
  <c r="O345" i="1" s="1"/>
  <c r="M344" i="1"/>
  <c r="L344" i="1"/>
  <c r="K344" i="1"/>
  <c r="N344" i="1" s="1"/>
  <c r="O344" i="1" s="1"/>
  <c r="M343" i="1"/>
  <c r="L343" i="1"/>
  <c r="K343" i="1"/>
  <c r="N343" i="1" s="1"/>
  <c r="O343" i="1" s="1"/>
  <c r="M342" i="1"/>
  <c r="L342" i="1"/>
  <c r="K342" i="1"/>
  <c r="N342" i="1" s="1"/>
  <c r="O342" i="1" s="1"/>
  <c r="M341" i="1"/>
  <c r="L341" i="1"/>
  <c r="K341" i="1"/>
  <c r="N341" i="1" s="1"/>
  <c r="O341" i="1" s="1"/>
  <c r="M340" i="1"/>
  <c r="L340" i="1"/>
  <c r="K340" i="1"/>
  <c r="N340" i="1" s="1"/>
  <c r="O340" i="1" s="1"/>
  <c r="M339" i="1"/>
  <c r="L339" i="1"/>
  <c r="K339" i="1"/>
  <c r="N339" i="1" s="1"/>
  <c r="O339" i="1" s="1"/>
  <c r="M338" i="1"/>
  <c r="L338" i="1"/>
  <c r="K338" i="1"/>
  <c r="N338" i="1" s="1"/>
  <c r="O338" i="1" s="1"/>
  <c r="M337" i="1"/>
  <c r="L337" i="1"/>
  <c r="K337" i="1"/>
  <c r="N337" i="1" s="1"/>
  <c r="O337" i="1" s="1"/>
  <c r="M336" i="1"/>
  <c r="L336" i="1"/>
  <c r="K336" i="1"/>
  <c r="N336" i="1" s="1"/>
  <c r="O336" i="1" s="1"/>
  <c r="M335" i="1"/>
  <c r="L335" i="1"/>
  <c r="K335" i="1"/>
  <c r="N335" i="1" s="1"/>
  <c r="O335" i="1" s="1"/>
  <c r="M334" i="1"/>
  <c r="L334" i="1"/>
  <c r="K334" i="1"/>
  <c r="N334" i="1" s="1"/>
  <c r="O334" i="1" s="1"/>
  <c r="M333" i="1"/>
  <c r="L333" i="1"/>
  <c r="K333" i="1"/>
  <c r="N333" i="1" s="1"/>
  <c r="O333" i="1" s="1"/>
  <c r="M332" i="1"/>
  <c r="L332" i="1"/>
  <c r="K332" i="1"/>
  <c r="N332" i="1" s="1"/>
  <c r="O332" i="1" s="1"/>
  <c r="M331" i="1"/>
  <c r="L331" i="1"/>
  <c r="K331" i="1"/>
  <c r="N331" i="1" s="1"/>
  <c r="O331" i="1" s="1"/>
  <c r="M330" i="1"/>
  <c r="L330" i="1"/>
  <c r="K330" i="1"/>
  <c r="N330" i="1" s="1"/>
  <c r="O330" i="1" s="1"/>
  <c r="M329" i="1"/>
  <c r="L329" i="1"/>
  <c r="K329" i="1"/>
  <c r="N329" i="1" s="1"/>
  <c r="O329" i="1" s="1"/>
  <c r="M328" i="1"/>
  <c r="L328" i="1"/>
  <c r="K328" i="1"/>
  <c r="N328" i="1" s="1"/>
  <c r="O328" i="1" s="1"/>
  <c r="M327" i="1"/>
  <c r="L327" i="1"/>
  <c r="K327" i="1"/>
  <c r="N327" i="1" s="1"/>
  <c r="O327" i="1" s="1"/>
  <c r="M326" i="1"/>
  <c r="L326" i="1"/>
  <c r="K326" i="1"/>
  <c r="N326" i="1" s="1"/>
  <c r="O326" i="1" s="1"/>
  <c r="M325" i="1"/>
  <c r="L325" i="1"/>
  <c r="K325" i="1"/>
  <c r="N325" i="1" s="1"/>
  <c r="O325" i="1" s="1"/>
  <c r="M324" i="1"/>
  <c r="L324" i="1"/>
  <c r="K324" i="1"/>
  <c r="N324" i="1" s="1"/>
  <c r="O324" i="1" s="1"/>
  <c r="M323" i="1"/>
  <c r="L323" i="1"/>
  <c r="K323" i="1"/>
  <c r="N323" i="1" s="1"/>
  <c r="O323" i="1" s="1"/>
  <c r="M322" i="1"/>
  <c r="L322" i="1"/>
  <c r="K322" i="1"/>
  <c r="N322" i="1" s="1"/>
  <c r="O322" i="1" s="1"/>
  <c r="M321" i="1"/>
  <c r="L321" i="1"/>
  <c r="K321" i="1"/>
  <c r="N321" i="1" s="1"/>
  <c r="O321" i="1" s="1"/>
  <c r="M320" i="1"/>
  <c r="L320" i="1"/>
  <c r="K320" i="1"/>
  <c r="N320" i="1" s="1"/>
  <c r="O320" i="1" s="1"/>
  <c r="M319" i="1"/>
  <c r="L319" i="1"/>
  <c r="K319" i="1"/>
  <c r="N319" i="1" s="1"/>
  <c r="O319" i="1" s="1"/>
  <c r="M318" i="1"/>
  <c r="L318" i="1"/>
  <c r="K318" i="1"/>
  <c r="N318" i="1" s="1"/>
  <c r="O318" i="1" s="1"/>
  <c r="M317" i="1"/>
  <c r="L317" i="1"/>
  <c r="K317" i="1"/>
  <c r="N317" i="1" s="1"/>
  <c r="O317" i="1" s="1"/>
  <c r="M316" i="1"/>
  <c r="L316" i="1"/>
  <c r="K316" i="1"/>
  <c r="N316" i="1" s="1"/>
  <c r="O316" i="1" s="1"/>
  <c r="M315" i="1"/>
  <c r="L315" i="1"/>
  <c r="K315" i="1"/>
  <c r="N315" i="1" s="1"/>
  <c r="O315" i="1" s="1"/>
  <c r="M314" i="1"/>
  <c r="L314" i="1"/>
  <c r="K314" i="1"/>
  <c r="N314" i="1" s="1"/>
  <c r="O314" i="1" s="1"/>
  <c r="M313" i="1"/>
  <c r="L313" i="1"/>
  <c r="K313" i="1"/>
  <c r="N313" i="1" s="1"/>
  <c r="O313" i="1" s="1"/>
  <c r="M312" i="1"/>
  <c r="L312" i="1"/>
  <c r="K312" i="1"/>
  <c r="N312" i="1" s="1"/>
  <c r="O312" i="1" s="1"/>
  <c r="M311" i="1"/>
  <c r="L311" i="1"/>
  <c r="K311" i="1"/>
  <c r="N311" i="1" s="1"/>
  <c r="O311" i="1" s="1"/>
  <c r="M310" i="1"/>
  <c r="L310" i="1"/>
  <c r="K310" i="1"/>
  <c r="N310" i="1" s="1"/>
  <c r="O310" i="1" s="1"/>
  <c r="M309" i="1"/>
  <c r="L309" i="1"/>
  <c r="K309" i="1"/>
  <c r="N309" i="1" s="1"/>
  <c r="O309" i="1" s="1"/>
  <c r="M308" i="1"/>
  <c r="L308" i="1"/>
  <c r="K308" i="1"/>
  <c r="N308" i="1" s="1"/>
  <c r="O308" i="1" s="1"/>
  <c r="M307" i="1"/>
  <c r="L307" i="1"/>
  <c r="K307" i="1"/>
  <c r="N307" i="1" s="1"/>
  <c r="O307" i="1" s="1"/>
  <c r="M306" i="1"/>
  <c r="L306" i="1"/>
  <c r="K306" i="1"/>
  <c r="N306" i="1" s="1"/>
  <c r="O306" i="1" s="1"/>
  <c r="M305" i="1"/>
  <c r="L305" i="1"/>
  <c r="K305" i="1"/>
  <c r="N305" i="1" s="1"/>
  <c r="O305" i="1" s="1"/>
  <c r="M304" i="1"/>
  <c r="L304" i="1"/>
  <c r="K304" i="1"/>
  <c r="N304" i="1" s="1"/>
  <c r="O304" i="1" s="1"/>
  <c r="M303" i="1"/>
  <c r="L303" i="1"/>
  <c r="K303" i="1"/>
  <c r="N303" i="1" s="1"/>
  <c r="O303" i="1" s="1"/>
  <c r="M302" i="1"/>
  <c r="L302" i="1"/>
  <c r="K302" i="1"/>
  <c r="N302" i="1" s="1"/>
  <c r="O302" i="1" s="1"/>
  <c r="M301" i="1"/>
  <c r="L301" i="1"/>
  <c r="K301" i="1"/>
  <c r="N301" i="1" s="1"/>
  <c r="O301" i="1" s="1"/>
  <c r="M300" i="1"/>
  <c r="L300" i="1"/>
  <c r="K300" i="1"/>
  <c r="N300" i="1" s="1"/>
  <c r="O300" i="1" s="1"/>
  <c r="M299" i="1"/>
  <c r="L299" i="1"/>
  <c r="K299" i="1"/>
  <c r="N299" i="1" s="1"/>
  <c r="O299" i="1" s="1"/>
  <c r="M298" i="1"/>
  <c r="L298" i="1"/>
  <c r="K298" i="1"/>
  <c r="N298" i="1" s="1"/>
  <c r="O298" i="1" s="1"/>
  <c r="M297" i="1"/>
  <c r="L297" i="1"/>
  <c r="K297" i="1"/>
  <c r="N297" i="1" s="1"/>
  <c r="O297" i="1" s="1"/>
  <c r="M296" i="1"/>
  <c r="L296" i="1"/>
  <c r="K296" i="1"/>
  <c r="N296" i="1" s="1"/>
  <c r="O296" i="1" s="1"/>
  <c r="M295" i="1"/>
  <c r="L295" i="1"/>
  <c r="K295" i="1"/>
  <c r="N295" i="1" s="1"/>
  <c r="O295" i="1" s="1"/>
  <c r="M294" i="1"/>
  <c r="L294" i="1"/>
  <c r="K294" i="1"/>
  <c r="N294" i="1" s="1"/>
  <c r="O294" i="1" s="1"/>
  <c r="M293" i="1"/>
  <c r="L293" i="1"/>
  <c r="K293" i="1"/>
  <c r="N293" i="1" s="1"/>
  <c r="O293" i="1" s="1"/>
  <c r="M292" i="1"/>
  <c r="L292" i="1"/>
  <c r="K292" i="1"/>
  <c r="N292" i="1" s="1"/>
  <c r="O292" i="1" s="1"/>
  <c r="M291" i="1"/>
  <c r="L291" i="1"/>
  <c r="K291" i="1"/>
  <c r="N291" i="1" s="1"/>
  <c r="O291" i="1" s="1"/>
  <c r="M290" i="1"/>
  <c r="L290" i="1"/>
  <c r="K290" i="1"/>
  <c r="N290" i="1" s="1"/>
  <c r="O290" i="1" s="1"/>
  <c r="M289" i="1"/>
  <c r="L289" i="1"/>
  <c r="K289" i="1"/>
  <c r="N289" i="1" s="1"/>
  <c r="O289" i="1" s="1"/>
  <c r="M288" i="1"/>
  <c r="L288" i="1"/>
  <c r="K288" i="1"/>
  <c r="N288" i="1" s="1"/>
  <c r="O288" i="1" s="1"/>
  <c r="M287" i="1"/>
  <c r="L287" i="1"/>
  <c r="K287" i="1"/>
  <c r="N287" i="1" s="1"/>
  <c r="O287" i="1" s="1"/>
  <c r="M286" i="1"/>
  <c r="L286" i="1"/>
  <c r="K286" i="1"/>
  <c r="N286" i="1" s="1"/>
  <c r="O286" i="1" s="1"/>
  <c r="M285" i="1"/>
  <c r="L285" i="1"/>
  <c r="K285" i="1"/>
  <c r="N285" i="1" s="1"/>
  <c r="O285" i="1" s="1"/>
  <c r="M284" i="1"/>
  <c r="L284" i="1"/>
  <c r="K284" i="1"/>
  <c r="N284" i="1" s="1"/>
  <c r="O284" i="1" s="1"/>
  <c r="M283" i="1"/>
  <c r="L283" i="1"/>
  <c r="K283" i="1"/>
  <c r="N283" i="1" s="1"/>
  <c r="O283" i="1" s="1"/>
  <c r="M282" i="1"/>
  <c r="L282" i="1"/>
  <c r="K282" i="1"/>
  <c r="N282" i="1" s="1"/>
  <c r="O282" i="1" s="1"/>
  <c r="M281" i="1"/>
  <c r="L281" i="1"/>
  <c r="K281" i="1"/>
  <c r="N281" i="1" s="1"/>
  <c r="O281" i="1" s="1"/>
  <c r="M280" i="1"/>
  <c r="L280" i="1"/>
  <c r="K280" i="1"/>
  <c r="N280" i="1" s="1"/>
  <c r="O280" i="1" s="1"/>
  <c r="M279" i="1"/>
  <c r="L279" i="1"/>
  <c r="K279" i="1"/>
  <c r="N279" i="1" s="1"/>
  <c r="O279" i="1" s="1"/>
  <c r="M278" i="1"/>
  <c r="L278" i="1"/>
  <c r="K278" i="1"/>
  <c r="N278" i="1" s="1"/>
  <c r="O278" i="1" s="1"/>
  <c r="M277" i="1"/>
  <c r="L277" i="1"/>
  <c r="K277" i="1"/>
  <c r="N277" i="1" s="1"/>
  <c r="O277" i="1" s="1"/>
  <c r="M276" i="1"/>
  <c r="L276" i="1"/>
  <c r="K276" i="1"/>
  <c r="N276" i="1" s="1"/>
  <c r="O276" i="1" s="1"/>
  <c r="M275" i="1"/>
  <c r="L275" i="1"/>
  <c r="K275" i="1"/>
  <c r="N275" i="1" s="1"/>
  <c r="O275" i="1" s="1"/>
  <c r="M274" i="1"/>
  <c r="L274" i="1"/>
  <c r="K274" i="1"/>
  <c r="N274" i="1" s="1"/>
  <c r="O274" i="1" s="1"/>
  <c r="M273" i="1"/>
  <c r="L273" i="1"/>
  <c r="K273" i="1"/>
  <c r="N273" i="1" s="1"/>
  <c r="O273" i="1" s="1"/>
  <c r="M272" i="1"/>
  <c r="L272" i="1"/>
  <c r="K272" i="1"/>
  <c r="N272" i="1" s="1"/>
  <c r="O272" i="1" s="1"/>
  <c r="M271" i="1"/>
  <c r="L271" i="1"/>
  <c r="K271" i="1"/>
  <c r="N271" i="1" s="1"/>
  <c r="O271" i="1" s="1"/>
  <c r="M270" i="1"/>
  <c r="L270" i="1"/>
  <c r="K270" i="1"/>
  <c r="N270" i="1" s="1"/>
  <c r="O270" i="1" s="1"/>
  <c r="M269" i="1"/>
  <c r="L269" i="1"/>
  <c r="K269" i="1"/>
  <c r="N269" i="1" s="1"/>
  <c r="O269" i="1" s="1"/>
  <c r="M268" i="1"/>
  <c r="L268" i="1"/>
  <c r="K268" i="1"/>
  <c r="N268" i="1" s="1"/>
  <c r="O268" i="1" s="1"/>
  <c r="M267" i="1"/>
  <c r="L267" i="1"/>
  <c r="K267" i="1"/>
  <c r="N267" i="1" s="1"/>
  <c r="O267" i="1" s="1"/>
  <c r="M266" i="1"/>
  <c r="L266" i="1"/>
  <c r="K266" i="1"/>
  <c r="N266" i="1" s="1"/>
  <c r="O266" i="1" s="1"/>
  <c r="M265" i="1"/>
  <c r="L265" i="1"/>
  <c r="K265" i="1"/>
  <c r="N265" i="1" s="1"/>
  <c r="O265" i="1" s="1"/>
  <c r="M264" i="1"/>
  <c r="L264" i="1"/>
  <c r="K264" i="1"/>
  <c r="N264" i="1" s="1"/>
  <c r="O264" i="1" s="1"/>
  <c r="M263" i="1"/>
  <c r="L263" i="1"/>
  <c r="K263" i="1"/>
  <c r="N263" i="1" s="1"/>
  <c r="O263" i="1" s="1"/>
  <c r="M262" i="1"/>
  <c r="L262" i="1"/>
  <c r="K262" i="1"/>
  <c r="N262" i="1" s="1"/>
  <c r="O262" i="1" s="1"/>
  <c r="M261" i="1"/>
  <c r="L261" i="1"/>
  <c r="K261" i="1"/>
  <c r="N261" i="1" s="1"/>
  <c r="O261" i="1" s="1"/>
  <c r="M260" i="1"/>
  <c r="L260" i="1"/>
  <c r="K260" i="1"/>
  <c r="N260" i="1" s="1"/>
  <c r="O260" i="1" s="1"/>
  <c r="M259" i="1"/>
  <c r="L259" i="1"/>
  <c r="K259" i="1"/>
  <c r="N259" i="1" s="1"/>
  <c r="O259" i="1" s="1"/>
  <c r="M258" i="1"/>
  <c r="L258" i="1"/>
  <c r="K258" i="1"/>
  <c r="N258" i="1" s="1"/>
  <c r="O258" i="1" s="1"/>
  <c r="M257" i="1"/>
  <c r="L257" i="1"/>
  <c r="K257" i="1"/>
  <c r="N257" i="1" s="1"/>
  <c r="O257" i="1" s="1"/>
  <c r="M256" i="1"/>
  <c r="L256" i="1"/>
  <c r="K256" i="1"/>
  <c r="N256" i="1" s="1"/>
  <c r="O256" i="1" s="1"/>
  <c r="M255" i="1"/>
  <c r="L255" i="1"/>
  <c r="K255" i="1"/>
  <c r="N255" i="1" s="1"/>
  <c r="O255" i="1" s="1"/>
  <c r="M254" i="1"/>
  <c r="L254" i="1"/>
  <c r="K254" i="1"/>
  <c r="N254" i="1" s="1"/>
  <c r="O254" i="1" s="1"/>
  <c r="M253" i="1"/>
  <c r="L253" i="1"/>
  <c r="K253" i="1"/>
  <c r="N253" i="1" s="1"/>
  <c r="O253" i="1" s="1"/>
  <c r="M252" i="1"/>
  <c r="L252" i="1"/>
  <c r="K252" i="1"/>
  <c r="N252" i="1" s="1"/>
  <c r="O252" i="1" s="1"/>
  <c r="M251" i="1"/>
  <c r="L251" i="1"/>
  <c r="K251" i="1"/>
  <c r="N251" i="1" s="1"/>
  <c r="O251" i="1" s="1"/>
  <c r="M250" i="1"/>
  <c r="L250" i="1"/>
  <c r="K250" i="1"/>
  <c r="N250" i="1" s="1"/>
  <c r="O250" i="1" s="1"/>
  <c r="M249" i="1"/>
  <c r="L249" i="1"/>
  <c r="K249" i="1"/>
  <c r="N249" i="1" s="1"/>
  <c r="O249" i="1" s="1"/>
  <c r="M248" i="1"/>
  <c r="L248" i="1"/>
  <c r="K248" i="1"/>
  <c r="N248" i="1" s="1"/>
  <c r="O248" i="1" s="1"/>
  <c r="M247" i="1"/>
  <c r="L247" i="1"/>
  <c r="K247" i="1"/>
  <c r="N247" i="1" s="1"/>
  <c r="O247" i="1" s="1"/>
  <c r="M246" i="1"/>
  <c r="L246" i="1"/>
  <c r="K246" i="1"/>
  <c r="N246" i="1" s="1"/>
  <c r="O246" i="1" s="1"/>
  <c r="M245" i="1"/>
  <c r="L245" i="1"/>
  <c r="K245" i="1"/>
  <c r="N245" i="1" s="1"/>
  <c r="O245" i="1" s="1"/>
  <c r="M244" i="1"/>
  <c r="L244" i="1"/>
  <c r="K244" i="1"/>
  <c r="N244" i="1" s="1"/>
  <c r="O244" i="1" s="1"/>
  <c r="M243" i="1"/>
  <c r="L243" i="1"/>
  <c r="K243" i="1"/>
  <c r="N243" i="1" s="1"/>
  <c r="O243" i="1" s="1"/>
  <c r="M242" i="1"/>
  <c r="L242" i="1"/>
  <c r="K242" i="1"/>
  <c r="N242" i="1" s="1"/>
  <c r="O242" i="1" s="1"/>
  <c r="M241" i="1"/>
  <c r="L241" i="1"/>
  <c r="K241" i="1"/>
  <c r="N241" i="1" s="1"/>
  <c r="O241" i="1" s="1"/>
  <c r="M240" i="1"/>
  <c r="L240" i="1"/>
  <c r="K240" i="1"/>
  <c r="N240" i="1" s="1"/>
  <c r="O240" i="1" s="1"/>
  <c r="M239" i="1"/>
  <c r="L239" i="1"/>
  <c r="K239" i="1"/>
  <c r="N239" i="1" s="1"/>
  <c r="O239" i="1" s="1"/>
  <c r="M238" i="1"/>
  <c r="L238" i="1"/>
  <c r="K238" i="1"/>
  <c r="N238" i="1" s="1"/>
  <c r="O238" i="1" s="1"/>
  <c r="M237" i="1"/>
  <c r="L237" i="1"/>
  <c r="K237" i="1"/>
  <c r="N237" i="1" s="1"/>
  <c r="O237" i="1" s="1"/>
  <c r="M236" i="1"/>
  <c r="L236" i="1"/>
  <c r="K236" i="1"/>
  <c r="N236" i="1" s="1"/>
  <c r="O236" i="1" s="1"/>
  <c r="M235" i="1"/>
  <c r="L235" i="1"/>
  <c r="K235" i="1"/>
  <c r="N235" i="1" s="1"/>
  <c r="O235" i="1" s="1"/>
  <c r="M234" i="1"/>
  <c r="L234" i="1"/>
  <c r="K234" i="1"/>
  <c r="N234" i="1" s="1"/>
  <c r="O234" i="1" s="1"/>
  <c r="M233" i="1"/>
  <c r="L233" i="1"/>
  <c r="K233" i="1"/>
  <c r="N233" i="1" s="1"/>
  <c r="O233" i="1" s="1"/>
  <c r="M232" i="1"/>
  <c r="L232" i="1"/>
  <c r="K232" i="1"/>
  <c r="N232" i="1" s="1"/>
  <c r="O232" i="1" s="1"/>
  <c r="M231" i="1"/>
  <c r="L231" i="1"/>
  <c r="K231" i="1"/>
  <c r="N231" i="1" s="1"/>
  <c r="O231" i="1" s="1"/>
  <c r="M230" i="1"/>
  <c r="L230" i="1"/>
  <c r="K230" i="1"/>
  <c r="N230" i="1" s="1"/>
  <c r="O230" i="1" s="1"/>
  <c r="M229" i="1"/>
  <c r="L229" i="1"/>
  <c r="K229" i="1"/>
  <c r="N229" i="1" s="1"/>
  <c r="O229" i="1" s="1"/>
  <c r="M228" i="1"/>
  <c r="L228" i="1"/>
  <c r="K228" i="1"/>
  <c r="N228" i="1" s="1"/>
  <c r="O228" i="1" s="1"/>
  <c r="M227" i="1"/>
  <c r="L227" i="1"/>
  <c r="K227" i="1"/>
  <c r="N227" i="1" s="1"/>
  <c r="O227" i="1" s="1"/>
  <c r="M226" i="1"/>
  <c r="L226" i="1"/>
  <c r="K226" i="1"/>
  <c r="N226" i="1" s="1"/>
  <c r="O226" i="1" s="1"/>
  <c r="M225" i="1"/>
  <c r="L225" i="1"/>
  <c r="K225" i="1"/>
  <c r="N225" i="1" s="1"/>
  <c r="O225" i="1" s="1"/>
  <c r="M224" i="1"/>
  <c r="L224" i="1"/>
  <c r="K224" i="1"/>
  <c r="N224" i="1" s="1"/>
  <c r="O224" i="1" s="1"/>
  <c r="M223" i="1"/>
  <c r="L223" i="1"/>
  <c r="K223" i="1"/>
  <c r="N223" i="1" s="1"/>
  <c r="O223" i="1" s="1"/>
  <c r="M222" i="1"/>
  <c r="L222" i="1"/>
  <c r="K222" i="1"/>
  <c r="N222" i="1" s="1"/>
  <c r="O222" i="1" s="1"/>
  <c r="M221" i="1"/>
  <c r="L221" i="1"/>
  <c r="K221" i="1"/>
  <c r="N221" i="1" s="1"/>
  <c r="O221" i="1" s="1"/>
  <c r="M220" i="1"/>
  <c r="L220" i="1"/>
  <c r="K220" i="1"/>
  <c r="N220" i="1" s="1"/>
  <c r="O220" i="1" s="1"/>
  <c r="M219" i="1"/>
  <c r="L219" i="1"/>
  <c r="K219" i="1"/>
  <c r="N219" i="1" s="1"/>
  <c r="O219" i="1" s="1"/>
  <c r="M218" i="1"/>
  <c r="L218" i="1"/>
  <c r="K218" i="1"/>
  <c r="N218" i="1" s="1"/>
  <c r="O218" i="1" s="1"/>
  <c r="M217" i="1"/>
  <c r="L217" i="1"/>
  <c r="K217" i="1"/>
  <c r="N217" i="1" s="1"/>
  <c r="O217" i="1" s="1"/>
  <c r="M216" i="1"/>
  <c r="L216" i="1"/>
  <c r="K216" i="1"/>
  <c r="N216" i="1" s="1"/>
  <c r="O216" i="1" s="1"/>
  <c r="M215" i="1"/>
  <c r="L215" i="1"/>
  <c r="K215" i="1"/>
  <c r="N215" i="1" s="1"/>
  <c r="O215" i="1" s="1"/>
  <c r="M214" i="1"/>
  <c r="L214" i="1"/>
  <c r="K214" i="1"/>
  <c r="N214" i="1" s="1"/>
  <c r="O214" i="1" s="1"/>
  <c r="M213" i="1"/>
  <c r="L213" i="1"/>
  <c r="K213" i="1"/>
  <c r="N213" i="1" s="1"/>
  <c r="O213" i="1" s="1"/>
  <c r="M212" i="1"/>
  <c r="L212" i="1"/>
  <c r="K212" i="1"/>
  <c r="N212" i="1" s="1"/>
  <c r="O212" i="1" s="1"/>
  <c r="M211" i="1"/>
  <c r="L211" i="1"/>
  <c r="K211" i="1"/>
  <c r="N211" i="1" s="1"/>
  <c r="O211" i="1" s="1"/>
  <c r="M210" i="1"/>
  <c r="L210" i="1"/>
  <c r="K210" i="1"/>
  <c r="N210" i="1" s="1"/>
  <c r="O210" i="1" s="1"/>
  <c r="M209" i="1"/>
  <c r="L209" i="1"/>
  <c r="K209" i="1"/>
  <c r="N209" i="1" s="1"/>
  <c r="O209" i="1" s="1"/>
  <c r="M208" i="1"/>
  <c r="L208" i="1"/>
  <c r="K208" i="1"/>
  <c r="N208" i="1" s="1"/>
  <c r="O208" i="1" s="1"/>
  <c r="M207" i="1"/>
  <c r="L207" i="1"/>
  <c r="K207" i="1"/>
  <c r="N207" i="1" s="1"/>
  <c r="O207" i="1" s="1"/>
  <c r="M206" i="1"/>
  <c r="L206" i="1"/>
  <c r="K206" i="1"/>
  <c r="N206" i="1" s="1"/>
  <c r="O206" i="1" s="1"/>
  <c r="M205" i="1"/>
  <c r="L205" i="1"/>
  <c r="K205" i="1"/>
  <c r="N205" i="1" s="1"/>
  <c r="O205" i="1" s="1"/>
  <c r="M204" i="1"/>
  <c r="L204" i="1"/>
  <c r="K204" i="1"/>
  <c r="N204" i="1" s="1"/>
  <c r="O204" i="1" s="1"/>
  <c r="M203" i="1"/>
  <c r="L203" i="1"/>
  <c r="K203" i="1"/>
  <c r="N203" i="1" s="1"/>
  <c r="O203" i="1" s="1"/>
  <c r="M202" i="1"/>
  <c r="L202" i="1"/>
  <c r="K202" i="1"/>
  <c r="N202" i="1" s="1"/>
  <c r="O202" i="1" s="1"/>
  <c r="M201" i="1"/>
  <c r="L201" i="1"/>
  <c r="K201" i="1"/>
  <c r="N201" i="1" s="1"/>
  <c r="O201" i="1" s="1"/>
  <c r="M200" i="1"/>
  <c r="L200" i="1"/>
  <c r="K200" i="1"/>
  <c r="N200" i="1" s="1"/>
  <c r="O200" i="1" s="1"/>
  <c r="M199" i="1"/>
  <c r="L199" i="1"/>
  <c r="K199" i="1"/>
  <c r="N199" i="1" s="1"/>
  <c r="O199" i="1" s="1"/>
  <c r="M198" i="1"/>
  <c r="L198" i="1"/>
  <c r="K198" i="1"/>
  <c r="N198" i="1" s="1"/>
  <c r="O198" i="1" s="1"/>
  <c r="M197" i="1"/>
  <c r="L197" i="1"/>
  <c r="K197" i="1"/>
  <c r="N197" i="1" s="1"/>
  <c r="O197" i="1" s="1"/>
  <c r="M196" i="1"/>
  <c r="L196" i="1"/>
  <c r="K196" i="1"/>
  <c r="N196" i="1" s="1"/>
  <c r="O196" i="1" s="1"/>
  <c r="M195" i="1"/>
  <c r="L195" i="1"/>
  <c r="K195" i="1"/>
  <c r="N195" i="1" s="1"/>
  <c r="O195" i="1" s="1"/>
  <c r="M194" i="1"/>
  <c r="L194" i="1"/>
  <c r="K194" i="1"/>
  <c r="N194" i="1" s="1"/>
  <c r="O194" i="1" s="1"/>
  <c r="M193" i="1"/>
  <c r="L193" i="1"/>
  <c r="K193" i="1"/>
  <c r="N193" i="1" s="1"/>
  <c r="O193" i="1" s="1"/>
  <c r="M192" i="1"/>
  <c r="L192" i="1"/>
  <c r="K192" i="1"/>
  <c r="N192" i="1" s="1"/>
  <c r="O192" i="1" s="1"/>
  <c r="M191" i="1"/>
  <c r="L191" i="1"/>
  <c r="K191" i="1"/>
  <c r="N191" i="1" s="1"/>
  <c r="O191" i="1" s="1"/>
  <c r="M190" i="1"/>
  <c r="L190" i="1"/>
  <c r="K190" i="1"/>
  <c r="N190" i="1" s="1"/>
  <c r="O190" i="1" s="1"/>
  <c r="M189" i="1"/>
  <c r="L189" i="1"/>
  <c r="K189" i="1"/>
  <c r="N189" i="1" s="1"/>
  <c r="O189" i="1" s="1"/>
  <c r="M188" i="1"/>
  <c r="L188" i="1"/>
  <c r="K188" i="1"/>
  <c r="N188" i="1" s="1"/>
  <c r="O188" i="1" s="1"/>
  <c r="M187" i="1"/>
  <c r="L187" i="1"/>
  <c r="K187" i="1"/>
  <c r="N187" i="1" s="1"/>
  <c r="O187" i="1" s="1"/>
  <c r="M186" i="1"/>
  <c r="L186" i="1"/>
  <c r="K186" i="1"/>
  <c r="N186" i="1" s="1"/>
  <c r="O186" i="1" s="1"/>
  <c r="M185" i="1"/>
  <c r="L185" i="1"/>
  <c r="K185" i="1"/>
  <c r="N185" i="1" s="1"/>
  <c r="O185" i="1" s="1"/>
  <c r="M184" i="1"/>
  <c r="L184" i="1"/>
  <c r="K184" i="1"/>
  <c r="N184" i="1" s="1"/>
  <c r="O184" i="1" s="1"/>
  <c r="M183" i="1"/>
  <c r="L183" i="1"/>
  <c r="K183" i="1"/>
  <c r="N183" i="1" s="1"/>
  <c r="O183" i="1" s="1"/>
  <c r="M182" i="1"/>
  <c r="L182" i="1"/>
  <c r="K182" i="1"/>
  <c r="N182" i="1" s="1"/>
  <c r="O182" i="1" s="1"/>
  <c r="M181" i="1"/>
  <c r="L181" i="1"/>
  <c r="K181" i="1"/>
  <c r="N181" i="1" s="1"/>
  <c r="O181" i="1" s="1"/>
  <c r="M180" i="1"/>
  <c r="L180" i="1"/>
  <c r="K180" i="1"/>
  <c r="N180" i="1" s="1"/>
  <c r="O180" i="1" s="1"/>
  <c r="M179" i="1"/>
  <c r="L179" i="1"/>
  <c r="K179" i="1"/>
  <c r="N179" i="1" s="1"/>
  <c r="O179" i="1" s="1"/>
  <c r="M178" i="1"/>
  <c r="L178" i="1"/>
  <c r="K178" i="1"/>
  <c r="N178" i="1" s="1"/>
  <c r="O178" i="1" s="1"/>
  <c r="M177" i="1"/>
  <c r="L177" i="1"/>
  <c r="K177" i="1"/>
  <c r="N177" i="1" s="1"/>
  <c r="O177" i="1" s="1"/>
  <c r="M176" i="1"/>
  <c r="L176" i="1"/>
  <c r="K176" i="1"/>
  <c r="N176" i="1" s="1"/>
  <c r="O176" i="1" s="1"/>
  <c r="M175" i="1"/>
  <c r="L175" i="1"/>
  <c r="K175" i="1"/>
  <c r="N175" i="1" s="1"/>
  <c r="O175" i="1" s="1"/>
  <c r="M174" i="1"/>
  <c r="L174" i="1"/>
  <c r="K174" i="1"/>
  <c r="N174" i="1" s="1"/>
  <c r="O174" i="1" s="1"/>
  <c r="M173" i="1"/>
  <c r="L173" i="1"/>
  <c r="K173" i="1"/>
  <c r="N173" i="1" s="1"/>
  <c r="O173" i="1" s="1"/>
  <c r="M172" i="1"/>
  <c r="L172" i="1"/>
  <c r="K172" i="1"/>
  <c r="N172" i="1" s="1"/>
  <c r="O172" i="1" s="1"/>
  <c r="M171" i="1"/>
  <c r="L171" i="1"/>
  <c r="K171" i="1"/>
  <c r="N171" i="1" s="1"/>
  <c r="O171" i="1" s="1"/>
  <c r="M170" i="1"/>
  <c r="L170" i="1"/>
  <c r="K170" i="1"/>
  <c r="N170" i="1" s="1"/>
  <c r="O170" i="1" s="1"/>
  <c r="M169" i="1"/>
  <c r="L169" i="1"/>
  <c r="K169" i="1"/>
  <c r="N169" i="1" s="1"/>
  <c r="O169" i="1" s="1"/>
  <c r="M168" i="1"/>
  <c r="L168" i="1"/>
  <c r="K168" i="1"/>
  <c r="N168" i="1" s="1"/>
  <c r="O168" i="1" s="1"/>
  <c r="M167" i="1"/>
  <c r="L167" i="1"/>
  <c r="K167" i="1"/>
  <c r="N167" i="1" s="1"/>
  <c r="O167" i="1" s="1"/>
  <c r="M166" i="1"/>
  <c r="L166" i="1"/>
  <c r="K166" i="1"/>
  <c r="N166" i="1" s="1"/>
  <c r="O166" i="1" s="1"/>
  <c r="M165" i="1"/>
  <c r="L165" i="1"/>
  <c r="K165" i="1"/>
  <c r="N165" i="1" s="1"/>
  <c r="O165" i="1" s="1"/>
  <c r="M164" i="1"/>
  <c r="L164" i="1"/>
  <c r="K164" i="1"/>
  <c r="N164" i="1" s="1"/>
  <c r="O164" i="1" s="1"/>
  <c r="M163" i="1"/>
  <c r="L163" i="1"/>
  <c r="K163" i="1"/>
  <c r="N163" i="1" s="1"/>
  <c r="O163" i="1" s="1"/>
  <c r="M162" i="1"/>
  <c r="L162" i="1"/>
  <c r="K162" i="1"/>
  <c r="N162" i="1" s="1"/>
  <c r="O162" i="1" s="1"/>
  <c r="M161" i="1"/>
  <c r="L161" i="1"/>
  <c r="K161" i="1"/>
  <c r="N161" i="1" s="1"/>
  <c r="O161" i="1" s="1"/>
  <c r="M160" i="1"/>
  <c r="L160" i="1"/>
  <c r="K160" i="1"/>
  <c r="N160" i="1" s="1"/>
  <c r="O160" i="1" s="1"/>
  <c r="M159" i="1"/>
  <c r="L159" i="1"/>
  <c r="K159" i="1"/>
  <c r="N159" i="1" s="1"/>
  <c r="O159" i="1" s="1"/>
  <c r="M158" i="1"/>
  <c r="L158" i="1"/>
  <c r="K158" i="1"/>
  <c r="N158" i="1" s="1"/>
  <c r="O158" i="1" s="1"/>
  <c r="M157" i="1"/>
  <c r="L157" i="1"/>
  <c r="K157" i="1"/>
  <c r="N157" i="1" s="1"/>
  <c r="O157" i="1" s="1"/>
  <c r="M156" i="1"/>
  <c r="L156" i="1"/>
  <c r="K156" i="1"/>
  <c r="N156" i="1" s="1"/>
  <c r="O156" i="1" s="1"/>
  <c r="M155" i="1"/>
  <c r="L155" i="1"/>
  <c r="K155" i="1"/>
  <c r="N155" i="1" s="1"/>
  <c r="O155" i="1" s="1"/>
  <c r="M154" i="1"/>
  <c r="L154" i="1"/>
  <c r="K154" i="1"/>
  <c r="N154" i="1" s="1"/>
  <c r="O154" i="1" s="1"/>
  <c r="M153" i="1"/>
  <c r="L153" i="1"/>
  <c r="K153" i="1"/>
  <c r="N153" i="1" s="1"/>
  <c r="O153" i="1" s="1"/>
  <c r="M152" i="1"/>
  <c r="L152" i="1"/>
  <c r="K152" i="1"/>
  <c r="N152" i="1" s="1"/>
  <c r="O152" i="1" s="1"/>
  <c r="M151" i="1"/>
  <c r="L151" i="1"/>
  <c r="K151" i="1"/>
  <c r="N151" i="1" s="1"/>
  <c r="O151" i="1" s="1"/>
  <c r="M150" i="1"/>
  <c r="L150" i="1"/>
  <c r="K150" i="1"/>
  <c r="N150" i="1" s="1"/>
  <c r="O150" i="1" s="1"/>
  <c r="M149" i="1"/>
  <c r="L149" i="1"/>
  <c r="K149" i="1"/>
  <c r="N149" i="1" s="1"/>
  <c r="O149" i="1" s="1"/>
  <c r="M148" i="1"/>
  <c r="L148" i="1"/>
  <c r="K148" i="1"/>
  <c r="N148" i="1" s="1"/>
  <c r="O148" i="1" s="1"/>
  <c r="M147" i="1"/>
  <c r="L147" i="1"/>
  <c r="K147" i="1"/>
  <c r="N147" i="1" s="1"/>
  <c r="O147" i="1" s="1"/>
  <c r="M146" i="1"/>
  <c r="L146" i="1"/>
  <c r="K146" i="1"/>
  <c r="N146" i="1" s="1"/>
  <c r="O146" i="1" s="1"/>
  <c r="M145" i="1"/>
  <c r="L145" i="1"/>
  <c r="K145" i="1"/>
  <c r="N145" i="1" s="1"/>
  <c r="O145" i="1" s="1"/>
  <c r="M144" i="1"/>
  <c r="L144" i="1"/>
  <c r="K144" i="1"/>
  <c r="N144" i="1" s="1"/>
  <c r="O144" i="1" s="1"/>
  <c r="M143" i="1"/>
  <c r="L143" i="1"/>
  <c r="K143" i="1"/>
  <c r="N143" i="1" s="1"/>
  <c r="O143" i="1" s="1"/>
  <c r="M142" i="1"/>
  <c r="L142" i="1"/>
  <c r="K142" i="1"/>
  <c r="N142" i="1" s="1"/>
  <c r="O142" i="1" s="1"/>
  <c r="M141" i="1"/>
  <c r="L141" i="1"/>
  <c r="K141" i="1"/>
  <c r="N141" i="1" s="1"/>
  <c r="O141" i="1" s="1"/>
  <c r="M140" i="1"/>
  <c r="L140" i="1"/>
  <c r="K140" i="1"/>
  <c r="N140" i="1" s="1"/>
  <c r="O140" i="1" s="1"/>
  <c r="M139" i="1"/>
  <c r="L139" i="1"/>
  <c r="K139" i="1"/>
  <c r="N139" i="1" s="1"/>
  <c r="O139" i="1" s="1"/>
  <c r="M138" i="1"/>
  <c r="L138" i="1"/>
  <c r="K138" i="1"/>
  <c r="N138" i="1" s="1"/>
  <c r="O138" i="1" s="1"/>
  <c r="M137" i="1"/>
  <c r="L137" i="1"/>
  <c r="K137" i="1"/>
  <c r="N137" i="1" s="1"/>
  <c r="O137" i="1" s="1"/>
  <c r="M136" i="1"/>
  <c r="L136" i="1"/>
  <c r="K136" i="1"/>
  <c r="N136" i="1" s="1"/>
  <c r="O136" i="1" s="1"/>
  <c r="M135" i="1"/>
  <c r="L135" i="1"/>
  <c r="K135" i="1"/>
  <c r="N135" i="1" s="1"/>
  <c r="O135" i="1" s="1"/>
  <c r="M134" i="1"/>
  <c r="L134" i="1"/>
  <c r="K134" i="1"/>
  <c r="N134" i="1" s="1"/>
  <c r="O134" i="1" s="1"/>
  <c r="M133" i="1"/>
  <c r="L133" i="1"/>
  <c r="K133" i="1"/>
  <c r="N133" i="1" s="1"/>
  <c r="O133" i="1" s="1"/>
  <c r="M132" i="1"/>
  <c r="L132" i="1"/>
  <c r="K132" i="1"/>
  <c r="N132" i="1" s="1"/>
  <c r="O132" i="1" s="1"/>
  <c r="M131" i="1"/>
  <c r="L131" i="1"/>
  <c r="K131" i="1"/>
  <c r="N131" i="1" s="1"/>
  <c r="O131" i="1" s="1"/>
  <c r="M130" i="1"/>
  <c r="L130" i="1"/>
  <c r="K130" i="1"/>
  <c r="N130" i="1" s="1"/>
  <c r="O130" i="1" s="1"/>
  <c r="M129" i="1"/>
  <c r="L129" i="1"/>
  <c r="K129" i="1"/>
  <c r="N129" i="1" s="1"/>
  <c r="O129" i="1" s="1"/>
  <c r="M128" i="1"/>
  <c r="L128" i="1"/>
  <c r="K128" i="1"/>
  <c r="N128" i="1" s="1"/>
  <c r="O128" i="1" s="1"/>
  <c r="M127" i="1"/>
  <c r="L127" i="1"/>
  <c r="K127" i="1"/>
  <c r="N127" i="1" s="1"/>
  <c r="O127" i="1" s="1"/>
  <c r="M126" i="1"/>
  <c r="L126" i="1"/>
  <c r="K126" i="1"/>
  <c r="N126" i="1" s="1"/>
  <c r="O126" i="1" s="1"/>
  <c r="M125" i="1"/>
  <c r="L125" i="1"/>
  <c r="K125" i="1"/>
  <c r="N125" i="1" s="1"/>
  <c r="O125" i="1" s="1"/>
  <c r="M124" i="1"/>
  <c r="L124" i="1"/>
  <c r="K124" i="1"/>
  <c r="N124" i="1" s="1"/>
  <c r="O124" i="1" s="1"/>
  <c r="M123" i="1"/>
  <c r="L123" i="1"/>
  <c r="K123" i="1"/>
  <c r="N123" i="1" s="1"/>
  <c r="O123" i="1" s="1"/>
  <c r="M122" i="1"/>
  <c r="L122" i="1"/>
  <c r="K122" i="1"/>
  <c r="N122" i="1" s="1"/>
  <c r="O122" i="1" s="1"/>
  <c r="M121" i="1"/>
  <c r="L121" i="1"/>
  <c r="K121" i="1"/>
  <c r="N121" i="1" s="1"/>
  <c r="O121" i="1" s="1"/>
  <c r="M120" i="1"/>
  <c r="L120" i="1"/>
  <c r="K120" i="1"/>
  <c r="N120" i="1" s="1"/>
  <c r="O120" i="1" s="1"/>
  <c r="M119" i="1"/>
  <c r="L119" i="1"/>
  <c r="K119" i="1"/>
  <c r="N119" i="1" s="1"/>
  <c r="O119" i="1" s="1"/>
  <c r="M118" i="1"/>
  <c r="L118" i="1"/>
  <c r="K118" i="1"/>
  <c r="N118" i="1" s="1"/>
  <c r="O118" i="1" s="1"/>
  <c r="M117" i="1"/>
  <c r="L117" i="1"/>
  <c r="K117" i="1"/>
  <c r="N117" i="1" s="1"/>
  <c r="O117" i="1" s="1"/>
  <c r="M116" i="1"/>
  <c r="L116" i="1"/>
  <c r="K116" i="1"/>
  <c r="N116" i="1" s="1"/>
  <c r="O116" i="1" s="1"/>
  <c r="M115" i="1"/>
  <c r="L115" i="1"/>
  <c r="K115" i="1"/>
  <c r="N115" i="1" s="1"/>
  <c r="O115" i="1" s="1"/>
  <c r="M114" i="1"/>
  <c r="L114" i="1"/>
  <c r="K114" i="1"/>
  <c r="N114" i="1" s="1"/>
  <c r="O114" i="1" s="1"/>
  <c r="M113" i="1"/>
  <c r="L113" i="1"/>
  <c r="K113" i="1"/>
  <c r="N113" i="1" s="1"/>
  <c r="O113" i="1" s="1"/>
  <c r="M112" i="1"/>
  <c r="L112" i="1"/>
  <c r="K112" i="1"/>
  <c r="N112" i="1" s="1"/>
  <c r="O112" i="1" s="1"/>
  <c r="M111" i="1"/>
  <c r="L111" i="1"/>
  <c r="K111" i="1"/>
  <c r="N111" i="1" s="1"/>
  <c r="O111" i="1" s="1"/>
  <c r="M110" i="1"/>
  <c r="L110" i="1"/>
  <c r="K110" i="1"/>
  <c r="N110" i="1" s="1"/>
  <c r="O110" i="1" s="1"/>
  <c r="M109" i="1"/>
  <c r="L109" i="1"/>
  <c r="K109" i="1"/>
  <c r="N109" i="1" s="1"/>
  <c r="O109" i="1" s="1"/>
  <c r="M108" i="1"/>
  <c r="L108" i="1"/>
  <c r="K108" i="1"/>
  <c r="N108" i="1" s="1"/>
  <c r="O108" i="1" s="1"/>
  <c r="M107" i="1"/>
  <c r="L107" i="1"/>
  <c r="K107" i="1"/>
  <c r="N107" i="1" s="1"/>
  <c r="O107" i="1" s="1"/>
  <c r="M106" i="1"/>
  <c r="L106" i="1"/>
  <c r="K106" i="1"/>
  <c r="N106" i="1" s="1"/>
  <c r="O106" i="1" s="1"/>
  <c r="M105" i="1"/>
  <c r="L105" i="1"/>
  <c r="K105" i="1"/>
  <c r="N105" i="1" s="1"/>
  <c r="O105" i="1" s="1"/>
  <c r="M104" i="1"/>
  <c r="L104" i="1"/>
  <c r="K104" i="1"/>
  <c r="N104" i="1" s="1"/>
  <c r="O104" i="1" s="1"/>
  <c r="M103" i="1"/>
  <c r="L103" i="1"/>
  <c r="K103" i="1"/>
  <c r="N103" i="1" s="1"/>
  <c r="O103" i="1" s="1"/>
  <c r="M102" i="1"/>
  <c r="L102" i="1"/>
  <c r="K102" i="1"/>
  <c r="N102" i="1" s="1"/>
  <c r="O102" i="1" s="1"/>
  <c r="M101" i="1"/>
  <c r="L101" i="1"/>
  <c r="K101" i="1"/>
  <c r="N101" i="1" s="1"/>
  <c r="O101" i="1" s="1"/>
  <c r="M100" i="1"/>
  <c r="L100" i="1"/>
  <c r="K100" i="1"/>
  <c r="N100" i="1" s="1"/>
  <c r="O100" i="1" s="1"/>
  <c r="M99" i="1"/>
  <c r="L99" i="1"/>
  <c r="K99" i="1"/>
  <c r="N99" i="1" s="1"/>
  <c r="O99" i="1" s="1"/>
  <c r="M98" i="1"/>
  <c r="L98" i="1"/>
  <c r="K98" i="1"/>
  <c r="N98" i="1" s="1"/>
  <c r="O98" i="1" s="1"/>
  <c r="M97" i="1"/>
  <c r="L97" i="1"/>
  <c r="K97" i="1"/>
  <c r="N97" i="1" s="1"/>
  <c r="O97" i="1" s="1"/>
  <c r="M96" i="1"/>
  <c r="L96" i="1"/>
  <c r="K96" i="1"/>
  <c r="N96" i="1" s="1"/>
  <c r="O96" i="1" s="1"/>
  <c r="M95" i="1"/>
  <c r="L95" i="1"/>
  <c r="K95" i="1"/>
  <c r="N95" i="1" s="1"/>
  <c r="O95" i="1" s="1"/>
  <c r="M94" i="1"/>
  <c r="L94" i="1"/>
  <c r="K94" i="1"/>
  <c r="N94" i="1" s="1"/>
  <c r="O94" i="1" s="1"/>
  <c r="M93" i="1"/>
  <c r="L93" i="1"/>
  <c r="K93" i="1"/>
  <c r="N93" i="1" s="1"/>
  <c r="O93" i="1" s="1"/>
  <c r="M92" i="1"/>
  <c r="L92" i="1"/>
  <c r="K92" i="1"/>
  <c r="N92" i="1" s="1"/>
  <c r="O92" i="1" s="1"/>
  <c r="M91" i="1"/>
  <c r="L91" i="1"/>
  <c r="K91" i="1"/>
  <c r="N91" i="1" s="1"/>
  <c r="O91" i="1" s="1"/>
  <c r="M90" i="1"/>
  <c r="L90" i="1"/>
  <c r="K90" i="1"/>
  <c r="N90" i="1" s="1"/>
  <c r="O90" i="1" s="1"/>
  <c r="M89" i="1"/>
  <c r="L89" i="1"/>
  <c r="K89" i="1"/>
  <c r="N89" i="1" s="1"/>
  <c r="O89" i="1" s="1"/>
  <c r="M88" i="1"/>
  <c r="L88" i="1"/>
  <c r="K88" i="1"/>
  <c r="N88" i="1" s="1"/>
  <c r="O88" i="1" s="1"/>
  <c r="M87" i="1"/>
  <c r="L87" i="1"/>
  <c r="K87" i="1"/>
  <c r="N87" i="1" s="1"/>
  <c r="O87" i="1" s="1"/>
  <c r="M86" i="1"/>
  <c r="L86" i="1"/>
  <c r="K86" i="1"/>
  <c r="N86" i="1" s="1"/>
  <c r="O86" i="1" s="1"/>
  <c r="M85" i="1"/>
  <c r="L85" i="1"/>
  <c r="K85" i="1"/>
  <c r="N85" i="1" s="1"/>
  <c r="O85" i="1" s="1"/>
  <c r="M84" i="1"/>
  <c r="L84" i="1"/>
  <c r="K84" i="1"/>
  <c r="N84" i="1" s="1"/>
  <c r="O84" i="1" s="1"/>
  <c r="M83" i="1"/>
  <c r="L83" i="1"/>
  <c r="K83" i="1"/>
  <c r="N83" i="1" s="1"/>
  <c r="O83" i="1" s="1"/>
  <c r="M82" i="1"/>
  <c r="L82" i="1"/>
  <c r="K82" i="1"/>
  <c r="N82" i="1" s="1"/>
  <c r="O82" i="1" s="1"/>
  <c r="M81" i="1"/>
  <c r="L81" i="1"/>
  <c r="K81" i="1"/>
  <c r="N81" i="1" s="1"/>
  <c r="O81" i="1" s="1"/>
  <c r="M80" i="1"/>
  <c r="L80" i="1"/>
  <c r="K80" i="1"/>
  <c r="N80" i="1" s="1"/>
  <c r="O80" i="1" s="1"/>
  <c r="M79" i="1"/>
  <c r="L79" i="1"/>
  <c r="K79" i="1"/>
  <c r="N79" i="1" s="1"/>
  <c r="O79" i="1" s="1"/>
  <c r="M78" i="1"/>
  <c r="L78" i="1"/>
  <c r="K78" i="1"/>
  <c r="N78" i="1" s="1"/>
  <c r="O78" i="1" s="1"/>
  <c r="M77" i="1"/>
  <c r="L77" i="1"/>
  <c r="K77" i="1"/>
  <c r="N77" i="1" s="1"/>
  <c r="O77" i="1" s="1"/>
  <c r="M76" i="1"/>
  <c r="L76" i="1"/>
  <c r="K76" i="1"/>
  <c r="N76" i="1" s="1"/>
  <c r="O76" i="1" s="1"/>
  <c r="M75" i="1"/>
  <c r="L75" i="1"/>
  <c r="K75" i="1"/>
  <c r="N75" i="1" s="1"/>
  <c r="O75" i="1" s="1"/>
  <c r="M74" i="1"/>
  <c r="L74" i="1"/>
  <c r="K74" i="1"/>
  <c r="N74" i="1" s="1"/>
  <c r="O74" i="1" s="1"/>
  <c r="M73" i="1"/>
  <c r="L73" i="1"/>
  <c r="K73" i="1"/>
  <c r="N73" i="1" s="1"/>
  <c r="O73" i="1" s="1"/>
  <c r="M72" i="1"/>
  <c r="L72" i="1"/>
  <c r="K72" i="1"/>
  <c r="N72" i="1" s="1"/>
  <c r="O72" i="1" s="1"/>
  <c r="M71" i="1"/>
  <c r="L71" i="1"/>
  <c r="K71" i="1"/>
  <c r="N71" i="1" s="1"/>
  <c r="O71" i="1" s="1"/>
  <c r="M70" i="1"/>
  <c r="L70" i="1"/>
  <c r="K70" i="1"/>
  <c r="N70" i="1" s="1"/>
  <c r="O70" i="1" s="1"/>
  <c r="M69" i="1"/>
  <c r="L69" i="1"/>
  <c r="K69" i="1"/>
  <c r="N69" i="1" s="1"/>
  <c r="O69" i="1" s="1"/>
  <c r="M68" i="1"/>
  <c r="L68" i="1"/>
  <c r="K68" i="1"/>
  <c r="N68" i="1" s="1"/>
  <c r="O68" i="1" s="1"/>
  <c r="M67" i="1"/>
  <c r="L67" i="1"/>
  <c r="K67" i="1"/>
  <c r="N67" i="1" s="1"/>
  <c r="O67" i="1" s="1"/>
  <c r="M66" i="1"/>
  <c r="L66" i="1"/>
  <c r="K66" i="1"/>
  <c r="N66" i="1" s="1"/>
  <c r="O66" i="1" s="1"/>
  <c r="M65" i="1"/>
  <c r="L65" i="1"/>
  <c r="K65" i="1"/>
  <c r="N65" i="1" s="1"/>
  <c r="O65" i="1" s="1"/>
  <c r="M64" i="1"/>
  <c r="L64" i="1"/>
  <c r="K64" i="1"/>
  <c r="N64" i="1" s="1"/>
  <c r="O64" i="1" s="1"/>
  <c r="M63" i="1"/>
  <c r="L63" i="1"/>
  <c r="K63" i="1"/>
  <c r="N63" i="1" s="1"/>
  <c r="O63" i="1" s="1"/>
  <c r="M62" i="1"/>
  <c r="L62" i="1"/>
  <c r="K62" i="1"/>
  <c r="N62" i="1" s="1"/>
  <c r="O62" i="1" s="1"/>
  <c r="M61" i="1"/>
  <c r="L61" i="1"/>
  <c r="K61" i="1"/>
  <c r="N61" i="1" s="1"/>
  <c r="O61" i="1" s="1"/>
  <c r="M60" i="1"/>
  <c r="L60" i="1"/>
  <c r="K60" i="1"/>
  <c r="N60" i="1" s="1"/>
  <c r="O60" i="1" s="1"/>
  <c r="M59" i="1"/>
  <c r="L59" i="1"/>
  <c r="K59" i="1"/>
  <c r="N59" i="1" s="1"/>
  <c r="O59" i="1" s="1"/>
  <c r="M58" i="1"/>
  <c r="L58" i="1"/>
  <c r="K58" i="1"/>
  <c r="N58" i="1" s="1"/>
  <c r="O58" i="1" s="1"/>
  <c r="M57" i="1"/>
  <c r="L57" i="1"/>
  <c r="K57" i="1"/>
  <c r="N57" i="1" s="1"/>
  <c r="O57" i="1" s="1"/>
  <c r="M56" i="1"/>
  <c r="L56" i="1"/>
  <c r="K56" i="1"/>
  <c r="N56" i="1" s="1"/>
  <c r="O56" i="1" s="1"/>
  <c r="M55" i="1"/>
  <c r="L55" i="1"/>
  <c r="K55" i="1"/>
  <c r="N55" i="1" s="1"/>
  <c r="O55" i="1" s="1"/>
  <c r="M54" i="1"/>
  <c r="L54" i="1"/>
  <c r="K54" i="1"/>
  <c r="N54" i="1" s="1"/>
  <c r="O54" i="1" s="1"/>
  <c r="M53" i="1"/>
  <c r="L53" i="1"/>
  <c r="K53" i="1"/>
  <c r="N53" i="1" s="1"/>
  <c r="O53" i="1" s="1"/>
  <c r="M52" i="1"/>
  <c r="L52" i="1"/>
  <c r="K52" i="1"/>
  <c r="N52" i="1" s="1"/>
  <c r="O52" i="1" s="1"/>
  <c r="M51" i="1"/>
  <c r="L51" i="1"/>
  <c r="K51" i="1"/>
  <c r="N51" i="1" s="1"/>
  <c r="O51" i="1" s="1"/>
  <c r="M50" i="1"/>
  <c r="L50" i="1"/>
  <c r="K50" i="1"/>
  <c r="N50" i="1" s="1"/>
  <c r="O50" i="1" s="1"/>
  <c r="M49" i="1"/>
  <c r="L49" i="1"/>
  <c r="K49" i="1"/>
  <c r="N49" i="1" s="1"/>
  <c r="O49" i="1" s="1"/>
  <c r="M48" i="1"/>
  <c r="L48" i="1"/>
  <c r="K48" i="1"/>
  <c r="N48" i="1" s="1"/>
  <c r="O48" i="1" s="1"/>
  <c r="M47" i="1"/>
  <c r="L47" i="1"/>
  <c r="K47" i="1"/>
  <c r="N47" i="1" s="1"/>
  <c r="O47" i="1" s="1"/>
  <c r="M46" i="1"/>
  <c r="L46" i="1"/>
  <c r="K46" i="1"/>
  <c r="N46" i="1" s="1"/>
  <c r="O46" i="1" s="1"/>
  <c r="M45" i="1"/>
  <c r="L45" i="1"/>
  <c r="K45" i="1"/>
  <c r="N45" i="1" s="1"/>
  <c r="O45" i="1" s="1"/>
  <c r="M44" i="1"/>
  <c r="L44" i="1"/>
  <c r="K44" i="1"/>
  <c r="N44" i="1" s="1"/>
  <c r="O44" i="1" s="1"/>
  <c r="M43" i="1"/>
  <c r="L43" i="1"/>
  <c r="K43" i="1"/>
  <c r="N43" i="1" s="1"/>
  <c r="O43" i="1" s="1"/>
  <c r="M42" i="1"/>
  <c r="L42" i="1"/>
  <c r="K42" i="1"/>
  <c r="N42" i="1" s="1"/>
  <c r="O42" i="1" s="1"/>
  <c r="M41" i="1"/>
  <c r="L41" i="1"/>
  <c r="K41" i="1"/>
  <c r="N41" i="1" s="1"/>
  <c r="O41" i="1" s="1"/>
  <c r="M40" i="1"/>
  <c r="L40" i="1"/>
  <c r="K40" i="1"/>
  <c r="N40" i="1" s="1"/>
  <c r="O40" i="1" s="1"/>
  <c r="M39" i="1"/>
  <c r="L39" i="1"/>
  <c r="K39" i="1"/>
  <c r="N39" i="1" s="1"/>
  <c r="O39" i="1" s="1"/>
  <c r="M38" i="1"/>
  <c r="L38" i="1"/>
  <c r="K38" i="1"/>
  <c r="N38" i="1" s="1"/>
  <c r="O38" i="1" s="1"/>
  <c r="M37" i="1"/>
  <c r="L37" i="1"/>
  <c r="K37" i="1"/>
  <c r="N37" i="1" s="1"/>
  <c r="O37" i="1" s="1"/>
  <c r="M36" i="1"/>
  <c r="L36" i="1"/>
  <c r="K36" i="1"/>
  <c r="N36" i="1" s="1"/>
  <c r="O36" i="1" s="1"/>
  <c r="M35" i="1"/>
  <c r="L35" i="1"/>
  <c r="K35" i="1"/>
  <c r="N35" i="1" s="1"/>
  <c r="O35" i="1" s="1"/>
  <c r="M34" i="1"/>
  <c r="L34" i="1"/>
  <c r="K34" i="1"/>
  <c r="N34" i="1" s="1"/>
  <c r="O34" i="1" s="1"/>
  <c r="M33" i="1"/>
  <c r="L33" i="1"/>
  <c r="K33" i="1"/>
  <c r="N33" i="1" s="1"/>
  <c r="O33" i="1" s="1"/>
  <c r="M32" i="1"/>
  <c r="L32" i="1"/>
  <c r="K32" i="1"/>
  <c r="N32" i="1" s="1"/>
  <c r="O32" i="1" s="1"/>
  <c r="M31" i="1"/>
  <c r="L31" i="1"/>
  <c r="K31" i="1"/>
  <c r="N31" i="1" s="1"/>
  <c r="O31" i="1" s="1"/>
  <c r="M30" i="1"/>
  <c r="L30" i="1"/>
  <c r="K30" i="1"/>
  <c r="N30" i="1" s="1"/>
  <c r="O30" i="1" s="1"/>
  <c r="M29" i="1"/>
  <c r="L29" i="1"/>
  <c r="K29" i="1"/>
  <c r="N29" i="1" s="1"/>
  <c r="O29" i="1" s="1"/>
  <c r="M28" i="1"/>
  <c r="L28" i="1"/>
  <c r="K28" i="1"/>
  <c r="N28" i="1" s="1"/>
  <c r="O28" i="1" s="1"/>
  <c r="M27" i="1"/>
  <c r="L27" i="1"/>
  <c r="K27" i="1"/>
  <c r="N27" i="1" s="1"/>
  <c r="O27" i="1" s="1"/>
  <c r="M26" i="1"/>
  <c r="L26" i="1"/>
  <c r="K26" i="1"/>
  <c r="N26" i="1" s="1"/>
  <c r="O26" i="1" s="1"/>
  <c r="M25" i="1"/>
  <c r="L25" i="1"/>
  <c r="K25" i="1"/>
  <c r="N25" i="1" s="1"/>
  <c r="O25" i="1" s="1"/>
  <c r="M24" i="1"/>
  <c r="L24" i="1"/>
  <c r="K24" i="1"/>
  <c r="N24" i="1" s="1"/>
  <c r="O24" i="1" s="1"/>
  <c r="M23" i="1"/>
  <c r="L23" i="1"/>
  <c r="K23" i="1"/>
  <c r="N23" i="1" s="1"/>
  <c r="O23" i="1" s="1"/>
  <c r="M22" i="1"/>
  <c r="L22" i="1"/>
  <c r="K22" i="1"/>
  <c r="N22" i="1" s="1"/>
  <c r="O22" i="1" s="1"/>
  <c r="M21" i="1"/>
  <c r="L21" i="1"/>
  <c r="K21" i="1"/>
  <c r="N21" i="1" s="1"/>
  <c r="O21" i="1" s="1"/>
  <c r="M20" i="1"/>
  <c r="L20" i="1"/>
  <c r="K20" i="1"/>
  <c r="N20" i="1" s="1"/>
  <c r="O20" i="1" s="1"/>
  <c r="M19" i="1"/>
  <c r="L19" i="1"/>
  <c r="K19" i="1"/>
  <c r="N19" i="1" s="1"/>
  <c r="O19" i="1" s="1"/>
  <c r="M18" i="1"/>
  <c r="L18" i="1"/>
  <c r="K18" i="1"/>
  <c r="N18" i="1" s="1"/>
  <c r="O18" i="1" s="1"/>
  <c r="M17" i="1"/>
  <c r="L17" i="1"/>
  <c r="K17" i="1"/>
  <c r="N17" i="1" s="1"/>
  <c r="O17" i="1" s="1"/>
  <c r="M16" i="1"/>
  <c r="L16" i="1"/>
  <c r="K16" i="1"/>
  <c r="N16" i="1" s="1"/>
  <c r="O16" i="1" s="1"/>
  <c r="M15" i="1"/>
  <c r="L15" i="1"/>
  <c r="K15" i="1"/>
  <c r="N15" i="1" s="1"/>
  <c r="O15" i="1" s="1"/>
  <c r="M14" i="1"/>
  <c r="L14" i="1"/>
  <c r="K14" i="1"/>
  <c r="N14" i="1" s="1"/>
  <c r="O14" i="1" s="1"/>
  <c r="M13" i="1"/>
  <c r="L13" i="1"/>
  <c r="K13" i="1"/>
  <c r="N13" i="1" s="1"/>
  <c r="O13" i="1" s="1"/>
  <c r="M12" i="1"/>
  <c r="L12" i="1"/>
  <c r="K12" i="1"/>
  <c r="N12" i="1" s="1"/>
  <c r="O12" i="1" s="1"/>
  <c r="M11" i="1"/>
  <c r="L11" i="1"/>
  <c r="K11" i="1"/>
  <c r="N11" i="1" s="1"/>
  <c r="O11" i="1" s="1"/>
  <c r="M10" i="1"/>
  <c r="L10" i="1"/>
  <c r="K10" i="1"/>
  <c r="N10" i="1" s="1"/>
  <c r="O10" i="1" s="1"/>
  <c r="M9" i="1"/>
  <c r="L9" i="1"/>
  <c r="K9" i="1"/>
  <c r="N9" i="1" s="1"/>
  <c r="O9" i="1" s="1"/>
  <c r="M8" i="1"/>
  <c r="L8" i="1"/>
  <c r="K8" i="1"/>
  <c r="N8" i="1" s="1"/>
  <c r="O8" i="1" s="1"/>
  <c r="M7" i="1"/>
  <c r="L7" i="1"/>
  <c r="K7" i="1"/>
  <c r="N7" i="1" s="1"/>
  <c r="O7" i="1" s="1"/>
  <c r="M6" i="1"/>
  <c r="L6" i="1"/>
  <c r="K6" i="1"/>
  <c r="N6" i="1" s="1"/>
  <c r="O6" i="1" s="1"/>
  <c r="M5" i="1"/>
  <c r="L5" i="1"/>
  <c r="K5" i="1"/>
  <c r="N5" i="1" s="1"/>
  <c r="O5" i="1" s="1"/>
  <c r="M4" i="1"/>
  <c r="L4" i="1"/>
  <c r="K4" i="1"/>
  <c r="N4" i="1" s="1"/>
  <c r="O4" i="1" s="1"/>
  <c r="M3" i="1"/>
  <c r="L3" i="1"/>
  <c r="K3" i="1"/>
  <c r="N3" i="1" s="1"/>
  <c r="O3" i="1" s="1"/>
  <c r="M2" i="1"/>
  <c r="L2" i="1"/>
  <c r="K2" i="1"/>
  <c r="N2" i="1" s="1"/>
  <c r="O2" i="1" s="1"/>
</calcChain>
</file>

<file path=xl/sharedStrings.xml><?xml version="1.0" encoding="utf-8"?>
<sst xmlns="http://schemas.openxmlformats.org/spreadsheetml/2006/main" count="3480" uniqueCount="33">
  <si>
    <t>Country</t>
  </si>
  <si>
    <t>City</t>
  </si>
  <si>
    <t>date2</t>
  </si>
  <si>
    <t>Date</t>
  </si>
  <si>
    <t>Electricity Consumption (kWh)</t>
  </si>
  <si>
    <t>Gasoline Used (liters)</t>
  </si>
  <si>
    <t>Materials Sourced (Tones)</t>
  </si>
  <si>
    <t xml:space="preserve">Transportation mode </t>
  </si>
  <si>
    <t>Transportation Distance (km)</t>
  </si>
  <si>
    <t>Carbon Offsets Purchased(tCo2e)</t>
  </si>
  <si>
    <t>Scope 1 Emissions (tCO2e)</t>
  </si>
  <si>
    <t>Scope 2 Emissions(tCO2e)</t>
  </si>
  <si>
    <t>Scope 3 Emission(tCO2e)</t>
  </si>
  <si>
    <t>Total Emission (tCO2e)</t>
  </si>
  <si>
    <t>Net Emission (tCO2e)</t>
  </si>
  <si>
    <t>United Kingdom</t>
  </si>
  <si>
    <t>London</t>
  </si>
  <si>
    <t>Rail</t>
  </si>
  <si>
    <t>Air</t>
  </si>
  <si>
    <t>UK</t>
  </si>
  <si>
    <t>Ship</t>
  </si>
  <si>
    <t>Truck</t>
  </si>
  <si>
    <t>Plymouth</t>
  </si>
  <si>
    <t>Germany</t>
  </si>
  <si>
    <t>Berlin</t>
  </si>
  <si>
    <t>Munich</t>
  </si>
  <si>
    <t>Nigeria</t>
  </si>
  <si>
    <t>Abuja</t>
  </si>
  <si>
    <t>Lagos</t>
  </si>
  <si>
    <t>India</t>
  </si>
  <si>
    <t>Mumbai</t>
  </si>
  <si>
    <t>Delhi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</si>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</sst>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"/>
    <numFmt numFmtId="165" formatCode="0.0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5">
    <dxf>
      <alignment horizontal="right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EFA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FA" displayName="EFA" ref="A1:O577">
  <autoFilter ref="A1:O577" xr:uid="{00000000-000C-0000-FFFF-FFFF00000000}"/>
  <tableColumns count="15">
    <tableColumn id="3" xr3:uid="{00000000-0010-0000-0000-000003000000}" name="Country"/>
    <tableColumn id="4" xr3:uid="{00000000-0010-0000-0000-000004000000}" name="City"/>
    <tableColumn id="5" xr3:uid="{00000000-0010-0000-0000-000005000000}" name="date2"/>
    <tableColumn id="6" xr3:uid="{00000000-0010-0000-0000-000006000000}" name="Date"/>
    <tableColumn id="7" xr3:uid="{00000000-0010-0000-0000-000007000000}" name="Electricity Consumption (kWh)"/>
    <tableColumn id="8" xr3:uid="{00000000-0010-0000-0000-000008000000}" name="Gasoline Used (liters)"/>
    <tableColumn id="9" xr3:uid="{00000000-0010-0000-0000-000009000000}" name="Materials Sourced (Tones)"/>
    <tableColumn id="10" xr3:uid="{00000000-0010-0000-0000-00000A000000}" name="Transportation mode " dataDxfId="0"/>
    <tableColumn id="11" xr3:uid="{00000000-0010-0000-0000-00000B000000}" name="Transportation Distance (km)"/>
    <tableColumn id="12" xr3:uid="{00000000-0010-0000-0000-00000C000000}" name="Carbon Offsets Purchased(tCo2e)"/>
    <tableColumn id="13" xr3:uid="{00000000-0010-0000-0000-00000D000000}" name="Scope 1 Emissions (tCO2e)"/>
    <tableColumn id="14" xr3:uid="{00000000-0010-0000-0000-00000E000000}" name="Scope 2 Emissions(tCO2e)"/>
    <tableColumn id="15" xr3:uid="{00000000-0010-0000-0000-00000F000000}" name="Scope 3 Emission(tCO2e)"/>
    <tableColumn id="16" xr3:uid="{00000000-0010-0000-0000-000010000000}" name="Total Emission (tCO2e)"/>
    <tableColumn id="17" xr3:uid="{00000000-0010-0000-0000-000011000000}" name="Net Emission (tCO2e)"/>
  </tableColumns>
  <tableStyleInfo name="EF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BE76D1-ACAB-43D6-BFEE-2A329453A118}" name="EFA_3" displayName="EFA_3" ref="A1:I577">
  <tableColumns count="9">
    <tableColumn id="3" xr3:uid="{F1A0026D-8EC2-4A37-9DFE-910359F08D5B}" name="Country"/>
    <tableColumn id="4" xr3:uid="{7F3B905A-AE8F-4037-8707-1C62572F5E36}" name="City"/>
    <tableColumn id="6" xr3:uid="{8AFAE790-61C7-4618-A2DF-7C97F256A4F5}" name="Date"/>
    <tableColumn id="7" xr3:uid="{66F92909-80A5-4E00-8F26-EFA4D6A646E0}" name="Electricity Consumption (kWh)"/>
    <tableColumn id="8" xr3:uid="{492B29F8-4C7A-4A9D-A08B-1D397F213A6F}" name="Gasoline Used (liters)"/>
    <tableColumn id="9" xr3:uid="{8FA2DFA6-4AC4-4AC8-A054-0DD26FA6DDDC}" name="Materials Sourced (Tones)"/>
    <tableColumn id="10" xr3:uid="{E8D4E024-6E03-43F4-B43C-6C79DF17FE23}" name="Transportation mode "/>
    <tableColumn id="11" xr3:uid="{A2F3FB2E-1898-4DDB-94B1-D4546B02661A}" name="Transportation Distance (km)"/>
    <tableColumn id="12" xr3:uid="{C7BE5B04-5715-4943-BBE6-F6AA031A82C8}" name="Carbon Offsets Purchased(tCo2e)"/>
  </tableColumns>
  <tableStyleInfo name="EF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577"/>
  <sheetViews>
    <sheetView tabSelected="1" topLeftCell="C1" workbookViewId="0">
      <pane ySplit="1" topLeftCell="A2" activePane="bottomLeft" state="frozen"/>
      <selection pane="bottomLeft" activeCell="H1" sqref="H1"/>
    </sheetView>
  </sheetViews>
  <sheetFormatPr defaultColWidth="12.6640625" defaultRowHeight="15.75" customHeight="1" x14ac:dyDescent="0.25"/>
  <cols>
    <col min="1" max="4" width="18.88671875" customWidth="1"/>
    <col min="5" max="5" width="27.21875" customWidth="1"/>
    <col min="6" max="6" width="20.88671875" customWidth="1"/>
    <col min="7" max="7" width="24.44140625" customWidth="1"/>
    <col min="8" max="8" width="21" style="7" customWidth="1"/>
    <col min="9" max="9" width="26.6640625" customWidth="1"/>
    <col min="10" max="10" width="29.88671875" customWidth="1"/>
    <col min="11" max="11" width="25.33203125" customWidth="1"/>
    <col min="12" max="12" width="26.33203125" customWidth="1"/>
    <col min="13" max="13" width="24.6640625" customWidth="1"/>
    <col min="14" max="14" width="20.33203125" customWidth="1"/>
    <col min="15" max="15" width="18.88671875" customWidth="1"/>
  </cols>
  <sheetData>
    <row r="1" spans="1:15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2.5" customHeight="1" x14ac:dyDescent="0.25">
      <c r="A2" s="2" t="s">
        <v>32</v>
      </c>
      <c r="B2" s="2" t="s">
        <v>16</v>
      </c>
      <c r="C2" s="3">
        <v>43831</v>
      </c>
      <c r="D2" s="3">
        <v>43831</v>
      </c>
      <c r="E2" s="2">
        <v>4155</v>
      </c>
      <c r="F2" s="2">
        <v>366</v>
      </c>
      <c r="G2" s="2">
        <v>2.67</v>
      </c>
      <c r="H2" s="6" t="s">
        <v>17</v>
      </c>
      <c r="I2" s="2">
        <v>916</v>
      </c>
      <c r="J2" s="2">
        <v>3.5</v>
      </c>
      <c r="K2" s="4">
        <f t="shared" ref="K2:K256" si="0">F2*2.31/1000</f>
        <v>0.84545999999999999</v>
      </c>
      <c r="L2" s="4">
        <f t="shared" ref="L2:L256" si="1">E2*0.45/1000</f>
        <v>1.86975</v>
      </c>
      <c r="M2" s="5">
        <f t="shared" ref="M2:M256" si="2">IF(H2="Truck",0.15*I2*G2/1000,
   IF(H2="Ship",0.02*I2*G2/1000,
     IF(H2="Rail",0.03*I2*G2/1000,
       IF(H2="Air",0.6*I2*G2/1000,
         ""))))</f>
        <v>7.3371599999999995E-2</v>
      </c>
      <c r="N2" s="4">
        <f t="shared" ref="N2:N256" si="3">K2+L2+M2</f>
        <v>2.7885816000000001</v>
      </c>
      <c r="O2" s="4">
        <f t="shared" ref="O2:O256" si="4">N2-J2</f>
        <v>-0.7114183999999999</v>
      </c>
    </row>
    <row r="3" spans="1:15" ht="22.5" customHeight="1" x14ac:dyDescent="0.25">
      <c r="A3" s="2" t="s">
        <v>32</v>
      </c>
      <c r="B3" s="2" t="s">
        <v>16</v>
      </c>
      <c r="C3" s="3">
        <v>43862</v>
      </c>
      <c r="D3" s="3">
        <v>43832</v>
      </c>
      <c r="E3" s="2">
        <v>8064</v>
      </c>
      <c r="F3" s="2">
        <v>718</v>
      </c>
      <c r="G3" s="2">
        <v>6.59</v>
      </c>
      <c r="H3" s="6" t="s">
        <v>18</v>
      </c>
      <c r="I3" s="2">
        <v>592</v>
      </c>
      <c r="J3" s="2">
        <v>2.83</v>
      </c>
      <c r="K3" s="4">
        <f t="shared" si="0"/>
        <v>1.6585799999999999</v>
      </c>
      <c r="L3" s="4">
        <f t="shared" si="1"/>
        <v>3.6288</v>
      </c>
      <c r="M3" s="5">
        <f t="shared" si="2"/>
        <v>2.3407680000000002</v>
      </c>
      <c r="N3" s="4">
        <f t="shared" si="3"/>
        <v>7.6281479999999995</v>
      </c>
      <c r="O3" s="4">
        <f t="shared" si="4"/>
        <v>4.7981479999999994</v>
      </c>
    </row>
    <row r="4" spans="1:15" ht="22.5" customHeight="1" x14ac:dyDescent="0.25">
      <c r="A4" s="2" t="s">
        <v>19</v>
      </c>
      <c r="B4" s="2" t="s">
        <v>16</v>
      </c>
      <c r="C4" s="3">
        <v>43891</v>
      </c>
      <c r="D4" s="3">
        <v>43833</v>
      </c>
      <c r="E4" s="2">
        <v>6278</v>
      </c>
      <c r="F4" s="2">
        <v>624</v>
      </c>
      <c r="G4" s="2">
        <v>7.75</v>
      </c>
      <c r="H4" s="6" t="s">
        <v>20</v>
      </c>
      <c r="I4" s="2">
        <v>81</v>
      </c>
      <c r="J4" s="2">
        <v>8.83</v>
      </c>
      <c r="K4" s="4">
        <f t="shared" si="0"/>
        <v>1.4414400000000001</v>
      </c>
      <c r="L4" s="4">
        <f t="shared" si="1"/>
        <v>2.8250999999999999</v>
      </c>
      <c r="M4" s="5">
        <f t="shared" si="2"/>
        <v>1.2555000000000002E-2</v>
      </c>
      <c r="N4" s="4">
        <f t="shared" si="3"/>
        <v>4.2790949999999999</v>
      </c>
      <c r="O4" s="4">
        <f t="shared" si="4"/>
        <v>-4.5509050000000002</v>
      </c>
    </row>
    <row r="5" spans="1:15" ht="22.5" customHeight="1" x14ac:dyDescent="0.25">
      <c r="A5" s="2" t="s">
        <v>19</v>
      </c>
      <c r="B5" s="2" t="s">
        <v>16</v>
      </c>
      <c r="C5" s="3">
        <v>43922</v>
      </c>
      <c r="D5" s="3">
        <v>43834</v>
      </c>
      <c r="E5" s="2">
        <v>8027</v>
      </c>
      <c r="F5" s="2">
        <v>788</v>
      </c>
      <c r="G5" s="2">
        <v>8.8800000000000008</v>
      </c>
      <c r="H5" s="6" t="s">
        <v>17</v>
      </c>
      <c r="I5" s="2">
        <v>266</v>
      </c>
      <c r="J5" s="2">
        <v>7.03</v>
      </c>
      <c r="K5" s="4">
        <f t="shared" si="0"/>
        <v>1.8202799999999999</v>
      </c>
      <c r="L5" s="4">
        <f t="shared" si="1"/>
        <v>3.6121500000000002</v>
      </c>
      <c r="M5" s="5">
        <f t="shared" si="2"/>
        <v>7.0862400000000006E-2</v>
      </c>
      <c r="N5" s="4">
        <f t="shared" si="3"/>
        <v>5.5032924000000003</v>
      </c>
      <c r="O5" s="4">
        <f t="shared" si="4"/>
        <v>-1.5267075999999999</v>
      </c>
    </row>
    <row r="6" spans="1:15" ht="22.5" customHeight="1" x14ac:dyDescent="0.25">
      <c r="A6" s="2" t="s">
        <v>19</v>
      </c>
      <c r="B6" s="2" t="s">
        <v>16</v>
      </c>
      <c r="C6" s="3">
        <v>43952</v>
      </c>
      <c r="D6" s="3">
        <v>43835</v>
      </c>
      <c r="E6" s="2">
        <v>3562</v>
      </c>
      <c r="F6" s="2">
        <v>1016</v>
      </c>
      <c r="G6" s="2">
        <v>6.78</v>
      </c>
      <c r="H6" s="6" t="s">
        <v>17</v>
      </c>
      <c r="I6" s="2">
        <v>206</v>
      </c>
      <c r="J6" s="2">
        <v>8.58</v>
      </c>
      <c r="K6" s="4">
        <f t="shared" si="0"/>
        <v>2.3469600000000002</v>
      </c>
      <c r="L6" s="4">
        <f t="shared" si="1"/>
        <v>1.6029</v>
      </c>
      <c r="M6" s="5">
        <f t="shared" si="2"/>
        <v>4.1900399999999997E-2</v>
      </c>
      <c r="N6" s="4">
        <f t="shared" si="3"/>
        <v>3.9917604</v>
      </c>
      <c r="O6" s="4">
        <f t="shared" si="4"/>
        <v>-4.5882395999999996</v>
      </c>
    </row>
    <row r="7" spans="1:15" ht="22.5" customHeight="1" x14ac:dyDescent="0.25">
      <c r="A7" s="2" t="s">
        <v>19</v>
      </c>
      <c r="B7" s="2" t="s">
        <v>16</v>
      </c>
      <c r="C7" s="3">
        <v>43983</v>
      </c>
      <c r="D7" s="3">
        <v>43836</v>
      </c>
      <c r="E7" s="2">
        <v>5795</v>
      </c>
      <c r="F7" s="2">
        <v>313</v>
      </c>
      <c r="G7" s="2">
        <v>9.4499999999999993</v>
      </c>
      <c r="H7" s="6" t="s">
        <v>17</v>
      </c>
      <c r="I7" s="2">
        <v>397</v>
      </c>
      <c r="J7" s="2">
        <v>1.74</v>
      </c>
      <c r="K7" s="4">
        <f t="shared" si="0"/>
        <v>0.72302999999999995</v>
      </c>
      <c r="L7" s="4">
        <f t="shared" si="1"/>
        <v>2.6077499999999998</v>
      </c>
      <c r="M7" s="5">
        <f t="shared" si="2"/>
        <v>0.1125495</v>
      </c>
      <c r="N7" s="4">
        <f t="shared" si="3"/>
        <v>3.4433294999999999</v>
      </c>
      <c r="O7" s="4">
        <f t="shared" si="4"/>
        <v>1.7033294999999999</v>
      </c>
    </row>
    <row r="8" spans="1:15" ht="22.5" customHeight="1" x14ac:dyDescent="0.25">
      <c r="A8" s="2" t="s">
        <v>19</v>
      </c>
      <c r="B8" s="2" t="s">
        <v>16</v>
      </c>
      <c r="C8" s="3">
        <v>44013</v>
      </c>
      <c r="D8" s="3">
        <v>43837</v>
      </c>
      <c r="E8" s="2">
        <v>6042</v>
      </c>
      <c r="F8" s="2">
        <v>1116</v>
      </c>
      <c r="G8" s="2">
        <v>6.8</v>
      </c>
      <c r="H8" s="6" t="s">
        <v>17</v>
      </c>
      <c r="I8" s="2">
        <v>209</v>
      </c>
      <c r="J8" s="2">
        <v>4.7300000000000004</v>
      </c>
      <c r="K8" s="4">
        <f t="shared" si="0"/>
        <v>2.57796</v>
      </c>
      <c r="L8" s="4">
        <f t="shared" si="1"/>
        <v>2.7189000000000001</v>
      </c>
      <c r="M8" s="5">
        <f t="shared" si="2"/>
        <v>4.2635999999999993E-2</v>
      </c>
      <c r="N8" s="4">
        <f t="shared" si="3"/>
        <v>5.3394960000000005</v>
      </c>
      <c r="O8" s="4">
        <f t="shared" si="4"/>
        <v>0.60949600000000004</v>
      </c>
    </row>
    <row r="9" spans="1:15" ht="22.5" customHeight="1" x14ac:dyDescent="0.25">
      <c r="A9" s="2" t="s">
        <v>19</v>
      </c>
      <c r="B9" s="2" t="s">
        <v>16</v>
      </c>
      <c r="C9" s="3">
        <v>44044</v>
      </c>
      <c r="D9" s="3">
        <v>43838</v>
      </c>
      <c r="E9" s="2">
        <v>7446</v>
      </c>
      <c r="F9" s="2">
        <v>978</v>
      </c>
      <c r="G9" s="2">
        <v>1.42</v>
      </c>
      <c r="H9" s="6" t="s">
        <v>21</v>
      </c>
      <c r="I9" s="2">
        <v>125</v>
      </c>
      <c r="J9" s="2">
        <v>0.55000000000000004</v>
      </c>
      <c r="K9" s="4">
        <f t="shared" si="0"/>
        <v>2.2591799999999997</v>
      </c>
      <c r="L9" s="4">
        <f t="shared" si="1"/>
        <v>3.3507000000000002</v>
      </c>
      <c r="M9" s="5">
        <f t="shared" si="2"/>
        <v>2.6624999999999999E-2</v>
      </c>
      <c r="N9" s="4">
        <f t="shared" si="3"/>
        <v>5.6365050000000005</v>
      </c>
      <c r="O9" s="4">
        <f t="shared" si="4"/>
        <v>5.0865050000000007</v>
      </c>
    </row>
    <row r="10" spans="1:15" ht="22.5" customHeight="1" x14ac:dyDescent="0.25">
      <c r="A10" s="2" t="s">
        <v>19</v>
      </c>
      <c r="B10" s="2" t="s">
        <v>16</v>
      </c>
      <c r="C10" s="3">
        <v>44075</v>
      </c>
      <c r="D10" s="3">
        <v>43839</v>
      </c>
      <c r="E10" s="2">
        <v>9496</v>
      </c>
      <c r="F10" s="2">
        <v>830</v>
      </c>
      <c r="G10" s="2">
        <v>2.12</v>
      </c>
      <c r="H10" s="6" t="s">
        <v>20</v>
      </c>
      <c r="I10" s="2">
        <v>495</v>
      </c>
      <c r="J10" s="2">
        <v>1.1299999999999999</v>
      </c>
      <c r="K10" s="4">
        <f t="shared" si="0"/>
        <v>1.9173</v>
      </c>
      <c r="L10" s="4">
        <f t="shared" si="1"/>
        <v>4.2732000000000001</v>
      </c>
      <c r="M10" s="5">
        <f t="shared" si="2"/>
        <v>2.0988000000000003E-2</v>
      </c>
      <c r="N10" s="4">
        <f t="shared" si="3"/>
        <v>6.2114880000000001</v>
      </c>
      <c r="O10" s="4">
        <f t="shared" si="4"/>
        <v>5.0814880000000002</v>
      </c>
    </row>
    <row r="11" spans="1:15" ht="22.5" customHeight="1" x14ac:dyDescent="0.25">
      <c r="A11" s="2" t="s">
        <v>19</v>
      </c>
      <c r="B11" s="2" t="s">
        <v>16</v>
      </c>
      <c r="C11" s="3">
        <v>44105</v>
      </c>
      <c r="D11" s="3">
        <v>43840</v>
      </c>
      <c r="E11" s="2">
        <v>6985</v>
      </c>
      <c r="F11" s="2">
        <v>878</v>
      </c>
      <c r="G11" s="2">
        <v>7.21</v>
      </c>
      <c r="H11" s="6" t="s">
        <v>20</v>
      </c>
      <c r="I11" s="2">
        <v>72</v>
      </c>
      <c r="J11" s="2">
        <v>7.95</v>
      </c>
      <c r="K11" s="4">
        <f t="shared" si="0"/>
        <v>2.0281799999999999</v>
      </c>
      <c r="L11" s="4">
        <f t="shared" si="1"/>
        <v>3.1432500000000001</v>
      </c>
      <c r="M11" s="5">
        <f t="shared" si="2"/>
        <v>1.0382399999999998E-2</v>
      </c>
      <c r="N11" s="4">
        <f t="shared" si="3"/>
        <v>5.1818124000000001</v>
      </c>
      <c r="O11" s="4">
        <f t="shared" si="4"/>
        <v>-2.7681876000000001</v>
      </c>
    </row>
    <row r="12" spans="1:15" ht="22.5" customHeight="1" x14ac:dyDescent="0.25">
      <c r="A12" s="2" t="s">
        <v>19</v>
      </c>
      <c r="B12" s="2" t="s">
        <v>16</v>
      </c>
      <c r="C12" s="3">
        <v>44136</v>
      </c>
      <c r="D12" s="3">
        <v>43841</v>
      </c>
      <c r="E12" s="2">
        <v>7395</v>
      </c>
      <c r="F12" s="2">
        <v>222</v>
      </c>
      <c r="G12" s="2">
        <v>9.8699999999999992</v>
      </c>
      <c r="H12" s="6" t="s">
        <v>18</v>
      </c>
      <c r="I12" s="2">
        <v>166</v>
      </c>
      <c r="J12" s="2">
        <v>1.06</v>
      </c>
      <c r="K12" s="4">
        <f t="shared" si="0"/>
        <v>0.51282000000000005</v>
      </c>
      <c r="L12" s="4">
        <f t="shared" si="1"/>
        <v>3.32775</v>
      </c>
      <c r="M12" s="5">
        <f t="shared" si="2"/>
        <v>0.98305199999999993</v>
      </c>
      <c r="N12" s="4">
        <f t="shared" si="3"/>
        <v>4.8236220000000003</v>
      </c>
      <c r="O12" s="4">
        <f t="shared" si="4"/>
        <v>3.7636220000000002</v>
      </c>
    </row>
    <row r="13" spans="1:15" ht="22.5" customHeight="1" x14ac:dyDescent="0.25">
      <c r="A13" s="2" t="s">
        <v>19</v>
      </c>
      <c r="B13" s="2" t="s">
        <v>16</v>
      </c>
      <c r="C13" s="3">
        <v>44166</v>
      </c>
      <c r="D13" s="3">
        <v>43842</v>
      </c>
      <c r="E13" s="2">
        <v>6906</v>
      </c>
      <c r="F13" s="2">
        <v>875</v>
      </c>
      <c r="G13" s="2">
        <v>6.8</v>
      </c>
      <c r="H13" s="6" t="s">
        <v>20</v>
      </c>
      <c r="I13" s="2">
        <v>513</v>
      </c>
      <c r="J13" s="2">
        <v>6.1</v>
      </c>
      <c r="K13" s="4">
        <f t="shared" si="0"/>
        <v>2.0212500000000002</v>
      </c>
      <c r="L13" s="4">
        <f t="shared" si="1"/>
        <v>3.1077000000000004</v>
      </c>
      <c r="M13" s="5">
        <f t="shared" si="2"/>
        <v>6.9767999999999997E-2</v>
      </c>
      <c r="N13" s="4">
        <f t="shared" si="3"/>
        <v>5.1987180000000004</v>
      </c>
      <c r="O13" s="4">
        <f t="shared" si="4"/>
        <v>-0.90128199999999925</v>
      </c>
    </row>
    <row r="14" spans="1:15" ht="22.5" customHeight="1" x14ac:dyDescent="0.25">
      <c r="A14" s="2" t="s">
        <v>19</v>
      </c>
      <c r="B14" s="2" t="s">
        <v>16</v>
      </c>
      <c r="C14" s="3">
        <v>44197</v>
      </c>
      <c r="D14" s="3">
        <v>44197</v>
      </c>
      <c r="E14" s="2">
        <v>5353</v>
      </c>
      <c r="F14" s="2">
        <v>875</v>
      </c>
      <c r="G14" s="2">
        <v>8.43</v>
      </c>
      <c r="H14" s="6" t="s">
        <v>18</v>
      </c>
      <c r="I14" s="2">
        <v>274</v>
      </c>
      <c r="J14" s="2">
        <v>0.27</v>
      </c>
      <c r="K14" s="4">
        <f t="shared" si="0"/>
        <v>2.0212500000000002</v>
      </c>
      <c r="L14" s="4">
        <f t="shared" si="1"/>
        <v>2.4088499999999997</v>
      </c>
      <c r="M14" s="5">
        <f t="shared" si="2"/>
        <v>1.3858920000000001</v>
      </c>
      <c r="N14" s="4">
        <f t="shared" si="3"/>
        <v>5.8159919999999996</v>
      </c>
      <c r="O14" s="4">
        <f t="shared" si="4"/>
        <v>5.545992</v>
      </c>
    </row>
    <row r="15" spans="1:15" ht="22.5" customHeight="1" x14ac:dyDescent="0.25">
      <c r="A15" s="2" t="s">
        <v>19</v>
      </c>
      <c r="B15" s="2" t="s">
        <v>16</v>
      </c>
      <c r="C15" s="3">
        <v>44228</v>
      </c>
      <c r="D15" s="3">
        <v>44198</v>
      </c>
      <c r="E15" s="2">
        <v>6457</v>
      </c>
      <c r="F15" s="2">
        <v>801</v>
      </c>
      <c r="G15" s="2">
        <v>2.98</v>
      </c>
      <c r="H15" s="6" t="s">
        <v>20</v>
      </c>
      <c r="I15" s="2">
        <v>172</v>
      </c>
      <c r="J15" s="2">
        <v>2.3199999999999998</v>
      </c>
      <c r="K15" s="4">
        <f t="shared" si="0"/>
        <v>1.8503099999999999</v>
      </c>
      <c r="L15" s="4">
        <f t="shared" si="1"/>
        <v>2.9056500000000001</v>
      </c>
      <c r="M15" s="5">
        <f t="shared" si="2"/>
        <v>1.0251199999999999E-2</v>
      </c>
      <c r="N15" s="4">
        <f t="shared" si="3"/>
        <v>4.7662111999999999</v>
      </c>
      <c r="O15" s="4">
        <f t="shared" si="4"/>
        <v>2.4462112</v>
      </c>
    </row>
    <row r="16" spans="1:15" ht="22.5" customHeight="1" x14ac:dyDescent="0.25">
      <c r="A16" s="2" t="s">
        <v>19</v>
      </c>
      <c r="B16" s="2" t="s">
        <v>16</v>
      </c>
      <c r="C16" s="3">
        <v>44256</v>
      </c>
      <c r="D16" s="3">
        <v>44199</v>
      </c>
      <c r="E16" s="2">
        <v>7099</v>
      </c>
      <c r="F16" s="2">
        <v>887</v>
      </c>
      <c r="G16" s="2">
        <v>7.83</v>
      </c>
      <c r="H16" s="6" t="s">
        <v>18</v>
      </c>
      <c r="I16" s="2">
        <v>123</v>
      </c>
      <c r="J16" s="2">
        <v>2.91</v>
      </c>
      <c r="K16" s="4">
        <f t="shared" si="0"/>
        <v>2.0489700000000002</v>
      </c>
      <c r="L16" s="4">
        <f t="shared" si="1"/>
        <v>3.19455</v>
      </c>
      <c r="M16" s="5">
        <f t="shared" si="2"/>
        <v>0.57785399999999998</v>
      </c>
      <c r="N16" s="4">
        <f t="shared" si="3"/>
        <v>5.8213740000000005</v>
      </c>
      <c r="O16" s="4">
        <f t="shared" si="4"/>
        <v>2.9113740000000004</v>
      </c>
    </row>
    <row r="17" spans="1:15" ht="22.5" customHeight="1" x14ac:dyDescent="0.25">
      <c r="A17" s="2" t="s">
        <v>19</v>
      </c>
      <c r="B17" s="2" t="s">
        <v>16</v>
      </c>
      <c r="C17" s="3">
        <v>44287</v>
      </c>
      <c r="D17" s="3">
        <v>44200</v>
      </c>
      <c r="E17" s="2">
        <v>6531</v>
      </c>
      <c r="F17" s="2">
        <v>300</v>
      </c>
      <c r="G17" s="2">
        <v>3.49</v>
      </c>
      <c r="H17" s="6" t="s">
        <v>17</v>
      </c>
      <c r="I17" s="2">
        <v>294</v>
      </c>
      <c r="J17" s="2">
        <v>8.1199999999999992</v>
      </c>
      <c r="K17" s="4">
        <f t="shared" si="0"/>
        <v>0.69299999999999995</v>
      </c>
      <c r="L17" s="4">
        <f t="shared" si="1"/>
        <v>2.9389500000000002</v>
      </c>
      <c r="M17" s="5">
        <f t="shared" si="2"/>
        <v>3.0781800000000005E-2</v>
      </c>
      <c r="N17" s="4">
        <f t="shared" si="3"/>
        <v>3.6627318000000004</v>
      </c>
      <c r="O17" s="4">
        <f t="shared" si="4"/>
        <v>-4.4572681999999988</v>
      </c>
    </row>
    <row r="18" spans="1:15" ht="22.5" customHeight="1" x14ac:dyDescent="0.25">
      <c r="A18" s="2" t="s">
        <v>19</v>
      </c>
      <c r="B18" s="2" t="s">
        <v>16</v>
      </c>
      <c r="C18" s="3">
        <v>44317</v>
      </c>
      <c r="D18" s="3">
        <v>44201</v>
      </c>
      <c r="E18" s="2">
        <v>5769</v>
      </c>
      <c r="F18" s="2">
        <v>243</v>
      </c>
      <c r="G18" s="2">
        <v>2.82</v>
      </c>
      <c r="H18" s="6" t="s">
        <v>17</v>
      </c>
      <c r="I18" s="2">
        <v>242</v>
      </c>
      <c r="J18" s="2">
        <v>9.24</v>
      </c>
      <c r="K18" s="4">
        <f t="shared" si="0"/>
        <v>0.56133</v>
      </c>
      <c r="L18" s="4">
        <f t="shared" si="1"/>
        <v>2.59605</v>
      </c>
      <c r="M18" s="5">
        <f t="shared" si="2"/>
        <v>2.0473199999999997E-2</v>
      </c>
      <c r="N18" s="4">
        <f t="shared" si="3"/>
        <v>3.1778531999999999</v>
      </c>
      <c r="O18" s="4">
        <f t="shared" si="4"/>
        <v>-6.0621468000000007</v>
      </c>
    </row>
    <row r="19" spans="1:15" ht="22.5" customHeight="1" x14ac:dyDescent="0.25">
      <c r="A19" s="2" t="s">
        <v>19</v>
      </c>
      <c r="B19" s="2" t="s">
        <v>16</v>
      </c>
      <c r="C19" s="3">
        <v>44348</v>
      </c>
      <c r="D19" s="3">
        <v>44202</v>
      </c>
      <c r="E19" s="2">
        <v>8098</v>
      </c>
      <c r="F19" s="2">
        <v>328</v>
      </c>
      <c r="G19" s="2">
        <v>2.58</v>
      </c>
      <c r="H19" s="6" t="s">
        <v>20</v>
      </c>
      <c r="I19" s="2">
        <v>371</v>
      </c>
      <c r="J19" s="2">
        <v>9.2799999999999994</v>
      </c>
      <c r="K19" s="4">
        <f t="shared" si="0"/>
        <v>0.75768000000000002</v>
      </c>
      <c r="L19" s="4">
        <f t="shared" si="1"/>
        <v>3.6440999999999999</v>
      </c>
      <c r="M19" s="5">
        <f t="shared" si="2"/>
        <v>1.91436E-2</v>
      </c>
      <c r="N19" s="4">
        <f t="shared" si="3"/>
        <v>4.4209235999999992</v>
      </c>
      <c r="O19" s="4">
        <f t="shared" si="4"/>
        <v>-4.8590764000000002</v>
      </c>
    </row>
    <row r="20" spans="1:15" ht="22.5" customHeight="1" x14ac:dyDescent="0.25">
      <c r="A20" s="2" t="s">
        <v>19</v>
      </c>
      <c r="B20" s="2" t="s">
        <v>16</v>
      </c>
      <c r="C20" s="3">
        <v>44378</v>
      </c>
      <c r="D20" s="3">
        <v>44203</v>
      </c>
      <c r="E20" s="2">
        <v>6371</v>
      </c>
      <c r="F20" s="2">
        <v>596</v>
      </c>
      <c r="G20" s="2">
        <v>8.48</v>
      </c>
      <c r="H20" s="6" t="s">
        <v>17</v>
      </c>
      <c r="I20" s="2">
        <v>937</v>
      </c>
      <c r="J20" s="2">
        <v>1.55</v>
      </c>
      <c r="K20" s="4">
        <f t="shared" si="0"/>
        <v>1.37676</v>
      </c>
      <c r="L20" s="4">
        <f t="shared" si="1"/>
        <v>2.8669500000000001</v>
      </c>
      <c r="M20" s="5">
        <f t="shared" si="2"/>
        <v>0.23837280000000002</v>
      </c>
      <c r="N20" s="4">
        <f t="shared" si="3"/>
        <v>4.4820827999999997</v>
      </c>
      <c r="O20" s="4">
        <f t="shared" si="4"/>
        <v>2.9320827999999999</v>
      </c>
    </row>
    <row r="21" spans="1:15" ht="22.5" customHeight="1" x14ac:dyDescent="0.25">
      <c r="A21" s="2" t="s">
        <v>19</v>
      </c>
      <c r="B21" s="2" t="s">
        <v>16</v>
      </c>
      <c r="C21" s="3">
        <v>44409</v>
      </c>
      <c r="D21" s="3">
        <v>44204</v>
      </c>
      <c r="E21" s="2">
        <v>9023</v>
      </c>
      <c r="F21" s="2">
        <v>224</v>
      </c>
      <c r="G21" s="2">
        <v>1.38</v>
      </c>
      <c r="H21" s="6" t="s">
        <v>17</v>
      </c>
      <c r="I21" s="2">
        <v>976</v>
      </c>
      <c r="J21" s="2">
        <v>5.96</v>
      </c>
      <c r="K21" s="4">
        <f t="shared" si="0"/>
        <v>0.51744000000000001</v>
      </c>
      <c r="L21" s="4">
        <f t="shared" si="1"/>
        <v>4.0603499999999997</v>
      </c>
      <c r="M21" s="5">
        <f t="shared" si="2"/>
        <v>4.0406399999999988E-2</v>
      </c>
      <c r="N21" s="4">
        <f t="shared" si="3"/>
        <v>4.6181963999999995</v>
      </c>
      <c r="O21" s="4">
        <f t="shared" si="4"/>
        <v>-1.3418036000000004</v>
      </c>
    </row>
    <row r="22" spans="1:15" ht="22.5" customHeight="1" x14ac:dyDescent="0.25">
      <c r="A22" s="2" t="s">
        <v>19</v>
      </c>
      <c r="B22" s="2" t="s">
        <v>16</v>
      </c>
      <c r="C22" s="3">
        <v>44440</v>
      </c>
      <c r="D22" s="3">
        <v>44205</v>
      </c>
      <c r="E22" s="2">
        <v>8773</v>
      </c>
      <c r="F22" s="2">
        <v>967</v>
      </c>
      <c r="G22" s="2">
        <v>4.49</v>
      </c>
      <c r="H22" s="6" t="s">
        <v>18</v>
      </c>
      <c r="I22" s="2">
        <v>277</v>
      </c>
      <c r="J22" s="2">
        <v>6.47</v>
      </c>
      <c r="K22" s="4">
        <f t="shared" si="0"/>
        <v>2.2337699999999998</v>
      </c>
      <c r="L22" s="4">
        <f t="shared" si="1"/>
        <v>3.9478499999999999</v>
      </c>
      <c r="M22" s="5">
        <f t="shared" si="2"/>
        <v>0.74623799999999996</v>
      </c>
      <c r="N22" s="4">
        <f t="shared" si="3"/>
        <v>6.9278579999999996</v>
      </c>
      <c r="O22" s="4">
        <f t="shared" si="4"/>
        <v>0.45785799999999988</v>
      </c>
    </row>
    <row r="23" spans="1:15" ht="22.5" customHeight="1" x14ac:dyDescent="0.25">
      <c r="A23" s="2" t="s">
        <v>19</v>
      </c>
      <c r="B23" s="2" t="s">
        <v>16</v>
      </c>
      <c r="C23" s="3">
        <v>44470</v>
      </c>
      <c r="D23" s="3">
        <v>44206</v>
      </c>
      <c r="E23" s="2">
        <v>8401</v>
      </c>
      <c r="F23" s="2">
        <v>443</v>
      </c>
      <c r="G23" s="2">
        <v>7.32</v>
      </c>
      <c r="H23" s="6" t="s">
        <v>18</v>
      </c>
      <c r="I23" s="2">
        <v>497</v>
      </c>
      <c r="J23" s="2">
        <v>5.28</v>
      </c>
      <c r="K23" s="4">
        <f t="shared" si="0"/>
        <v>1.0233300000000001</v>
      </c>
      <c r="L23" s="4">
        <f t="shared" si="1"/>
        <v>3.7804500000000001</v>
      </c>
      <c r="M23" s="5">
        <f t="shared" si="2"/>
        <v>2.1828240000000001</v>
      </c>
      <c r="N23" s="4">
        <f t="shared" si="3"/>
        <v>6.9866039999999998</v>
      </c>
      <c r="O23" s="4">
        <f t="shared" si="4"/>
        <v>1.7066039999999996</v>
      </c>
    </row>
    <row r="24" spans="1:15" ht="22.5" customHeight="1" x14ac:dyDescent="0.25">
      <c r="A24" s="2" t="s">
        <v>19</v>
      </c>
      <c r="B24" s="2" t="s">
        <v>16</v>
      </c>
      <c r="C24" s="3">
        <v>44501</v>
      </c>
      <c r="D24" s="3">
        <v>44207</v>
      </c>
      <c r="E24" s="2">
        <v>5251</v>
      </c>
      <c r="F24" s="2">
        <v>1145</v>
      </c>
      <c r="G24" s="2">
        <v>1.66</v>
      </c>
      <c r="H24" s="6" t="s">
        <v>20</v>
      </c>
      <c r="I24" s="2">
        <v>568</v>
      </c>
      <c r="J24" s="2">
        <v>8.5399999999999991</v>
      </c>
      <c r="K24" s="4">
        <f t="shared" si="0"/>
        <v>2.6449500000000001</v>
      </c>
      <c r="L24" s="4">
        <f t="shared" si="1"/>
        <v>2.3629500000000001</v>
      </c>
      <c r="M24" s="5">
        <f t="shared" si="2"/>
        <v>1.8857599999999999E-2</v>
      </c>
      <c r="N24" s="4">
        <f t="shared" si="3"/>
        <v>5.0267575999999998</v>
      </c>
      <c r="O24" s="4">
        <f t="shared" si="4"/>
        <v>-3.5132423999999993</v>
      </c>
    </row>
    <row r="25" spans="1:15" ht="22.5" customHeight="1" x14ac:dyDescent="0.25">
      <c r="A25" s="2" t="s">
        <v>19</v>
      </c>
      <c r="B25" s="2" t="s">
        <v>16</v>
      </c>
      <c r="C25" s="3">
        <v>44531</v>
      </c>
      <c r="D25" s="3">
        <v>44208</v>
      </c>
      <c r="E25" s="2">
        <v>5105</v>
      </c>
      <c r="F25" s="2">
        <v>846</v>
      </c>
      <c r="G25" s="2">
        <v>4.66</v>
      </c>
      <c r="H25" s="6" t="s">
        <v>18</v>
      </c>
      <c r="I25" s="2">
        <v>287</v>
      </c>
      <c r="J25" s="2">
        <v>8.48</v>
      </c>
      <c r="K25" s="4">
        <f t="shared" si="0"/>
        <v>1.9542599999999999</v>
      </c>
      <c r="L25" s="4">
        <f t="shared" si="1"/>
        <v>2.29725</v>
      </c>
      <c r="M25" s="5">
        <f t="shared" si="2"/>
        <v>0.80245199999999994</v>
      </c>
      <c r="N25" s="4">
        <f t="shared" si="3"/>
        <v>5.0539619999999994</v>
      </c>
      <c r="O25" s="4">
        <f t="shared" si="4"/>
        <v>-3.426038000000001</v>
      </c>
    </row>
    <row r="26" spans="1:15" ht="22.5" customHeight="1" x14ac:dyDescent="0.25">
      <c r="A26" s="2" t="s">
        <v>19</v>
      </c>
      <c r="B26" s="2" t="s">
        <v>16</v>
      </c>
      <c r="C26" s="3">
        <v>44562</v>
      </c>
      <c r="D26" s="3">
        <v>44562</v>
      </c>
      <c r="E26" s="2">
        <v>7542</v>
      </c>
      <c r="F26" s="2">
        <v>576</v>
      </c>
      <c r="G26" s="2">
        <v>8.0299999999999994</v>
      </c>
      <c r="H26" s="6" t="s">
        <v>20</v>
      </c>
      <c r="I26" s="2">
        <v>152</v>
      </c>
      <c r="J26" s="2">
        <v>5.27</v>
      </c>
      <c r="K26" s="4">
        <f t="shared" si="0"/>
        <v>1.33056</v>
      </c>
      <c r="L26" s="4">
        <f t="shared" si="1"/>
        <v>3.3938999999999999</v>
      </c>
      <c r="M26" s="5">
        <f t="shared" si="2"/>
        <v>2.4411199999999997E-2</v>
      </c>
      <c r="N26" s="4">
        <f t="shared" si="3"/>
        <v>4.7488712</v>
      </c>
      <c r="O26" s="4">
        <f t="shared" si="4"/>
        <v>-0.52112879999999961</v>
      </c>
    </row>
    <row r="27" spans="1:15" ht="22.5" customHeight="1" x14ac:dyDescent="0.25">
      <c r="A27" s="2" t="s">
        <v>19</v>
      </c>
      <c r="B27" s="2" t="s">
        <v>16</v>
      </c>
      <c r="C27" s="3">
        <v>44593</v>
      </c>
      <c r="D27" s="3">
        <v>44563</v>
      </c>
      <c r="E27" s="2">
        <v>7840</v>
      </c>
      <c r="F27" s="2">
        <v>261</v>
      </c>
      <c r="G27" s="2">
        <v>9.31</v>
      </c>
      <c r="H27" s="6" t="s">
        <v>20</v>
      </c>
      <c r="I27" s="2">
        <v>874</v>
      </c>
      <c r="J27" s="2">
        <v>3.03</v>
      </c>
      <c r="K27" s="4">
        <f t="shared" si="0"/>
        <v>0.60290999999999995</v>
      </c>
      <c r="L27" s="4">
        <f t="shared" si="1"/>
        <v>3.528</v>
      </c>
      <c r="M27" s="5">
        <f t="shared" si="2"/>
        <v>0.16273880000000002</v>
      </c>
      <c r="N27" s="4">
        <f t="shared" si="3"/>
        <v>4.2936487999999997</v>
      </c>
      <c r="O27" s="4">
        <f t="shared" si="4"/>
        <v>1.2636487999999999</v>
      </c>
    </row>
    <row r="28" spans="1:15" ht="22.5" customHeight="1" x14ac:dyDescent="0.25">
      <c r="A28" s="2" t="s">
        <v>19</v>
      </c>
      <c r="B28" s="2" t="s">
        <v>16</v>
      </c>
      <c r="C28" s="3">
        <v>44621</v>
      </c>
      <c r="D28" s="3">
        <v>44564</v>
      </c>
      <c r="E28" s="2">
        <v>3432</v>
      </c>
      <c r="F28" s="2">
        <v>572</v>
      </c>
      <c r="G28" s="2">
        <v>4.74</v>
      </c>
      <c r="H28" s="6" t="s">
        <v>18</v>
      </c>
      <c r="I28" s="2">
        <v>429</v>
      </c>
      <c r="J28" s="2">
        <v>9.02</v>
      </c>
      <c r="K28" s="4">
        <f t="shared" si="0"/>
        <v>1.3213199999999998</v>
      </c>
      <c r="L28" s="4">
        <f t="shared" si="1"/>
        <v>1.5444</v>
      </c>
      <c r="M28" s="5">
        <f t="shared" si="2"/>
        <v>1.2200759999999999</v>
      </c>
      <c r="N28" s="4">
        <f t="shared" si="3"/>
        <v>4.0857959999999993</v>
      </c>
      <c r="O28" s="4">
        <f t="shared" si="4"/>
        <v>-4.9342040000000003</v>
      </c>
    </row>
    <row r="29" spans="1:15" ht="22.5" customHeight="1" x14ac:dyDescent="0.25">
      <c r="A29" s="2" t="s">
        <v>19</v>
      </c>
      <c r="B29" s="2" t="s">
        <v>16</v>
      </c>
      <c r="C29" s="3">
        <v>44652</v>
      </c>
      <c r="D29" s="3">
        <v>44565</v>
      </c>
      <c r="E29" s="2">
        <v>9937</v>
      </c>
      <c r="F29" s="2">
        <v>371</v>
      </c>
      <c r="G29" s="2">
        <v>4.08</v>
      </c>
      <c r="H29" s="6" t="s">
        <v>17</v>
      </c>
      <c r="I29" s="2">
        <v>305</v>
      </c>
      <c r="J29" s="2">
        <v>0.31</v>
      </c>
      <c r="K29" s="4">
        <f t="shared" si="0"/>
        <v>0.85700999999999994</v>
      </c>
      <c r="L29" s="4">
        <f t="shared" si="1"/>
        <v>4.4716500000000003</v>
      </c>
      <c r="M29" s="5">
        <f t="shared" si="2"/>
        <v>3.7332000000000004E-2</v>
      </c>
      <c r="N29" s="4">
        <f t="shared" si="3"/>
        <v>5.3659920000000003</v>
      </c>
      <c r="O29" s="4">
        <f t="shared" si="4"/>
        <v>5.0559920000000007</v>
      </c>
    </row>
    <row r="30" spans="1:15" ht="22.5" customHeight="1" x14ac:dyDescent="0.25">
      <c r="A30" s="2" t="s">
        <v>19</v>
      </c>
      <c r="B30" s="2" t="s">
        <v>16</v>
      </c>
      <c r="C30" s="3">
        <v>44682</v>
      </c>
      <c r="D30" s="3">
        <v>44566</v>
      </c>
      <c r="E30" s="2">
        <v>6780</v>
      </c>
      <c r="F30" s="2">
        <v>1062</v>
      </c>
      <c r="G30" s="2">
        <v>5.56</v>
      </c>
      <c r="H30" s="6" t="s">
        <v>17</v>
      </c>
      <c r="I30" s="2">
        <v>722</v>
      </c>
      <c r="J30" s="2">
        <v>3.55</v>
      </c>
      <c r="K30" s="4">
        <f t="shared" si="0"/>
        <v>2.4532200000000004</v>
      </c>
      <c r="L30" s="4">
        <f t="shared" si="1"/>
        <v>3.0510000000000002</v>
      </c>
      <c r="M30" s="5">
        <f t="shared" si="2"/>
        <v>0.1204296</v>
      </c>
      <c r="N30" s="4">
        <f t="shared" si="3"/>
        <v>5.6246495999999997</v>
      </c>
      <c r="O30" s="4">
        <f t="shared" si="4"/>
        <v>2.0746495999999999</v>
      </c>
    </row>
    <row r="31" spans="1:15" ht="22.5" customHeight="1" x14ac:dyDescent="0.25">
      <c r="A31" s="2" t="s">
        <v>19</v>
      </c>
      <c r="B31" s="2" t="s">
        <v>16</v>
      </c>
      <c r="C31" s="3">
        <v>44713</v>
      </c>
      <c r="D31" s="3">
        <v>44567</v>
      </c>
      <c r="E31" s="2">
        <v>4036</v>
      </c>
      <c r="F31" s="2">
        <v>326</v>
      </c>
      <c r="G31" s="2">
        <v>6.75</v>
      </c>
      <c r="H31" s="6" t="s">
        <v>17</v>
      </c>
      <c r="I31" s="2">
        <v>293</v>
      </c>
      <c r="J31" s="2">
        <v>8.36</v>
      </c>
      <c r="K31" s="4">
        <f t="shared" si="0"/>
        <v>0.75306000000000006</v>
      </c>
      <c r="L31" s="4">
        <f t="shared" si="1"/>
        <v>1.8162</v>
      </c>
      <c r="M31" s="5">
        <f t="shared" si="2"/>
        <v>5.9332499999999996E-2</v>
      </c>
      <c r="N31" s="4">
        <f t="shared" si="3"/>
        <v>2.6285924999999999</v>
      </c>
      <c r="O31" s="4">
        <f t="shared" si="4"/>
        <v>-5.7314074999999995</v>
      </c>
    </row>
    <row r="32" spans="1:15" ht="22.5" customHeight="1" x14ac:dyDescent="0.25">
      <c r="A32" s="2" t="s">
        <v>19</v>
      </c>
      <c r="B32" s="2" t="s">
        <v>16</v>
      </c>
      <c r="C32" s="3">
        <v>44743</v>
      </c>
      <c r="D32" s="3">
        <v>44568</v>
      </c>
      <c r="E32" s="2">
        <v>3758</v>
      </c>
      <c r="F32" s="2">
        <v>865</v>
      </c>
      <c r="G32" s="2">
        <v>4.5</v>
      </c>
      <c r="H32" s="6" t="s">
        <v>17</v>
      </c>
      <c r="I32" s="2">
        <v>347</v>
      </c>
      <c r="J32" s="2">
        <v>2.77</v>
      </c>
      <c r="K32" s="4">
        <f t="shared" si="0"/>
        <v>1.9981500000000001</v>
      </c>
      <c r="L32" s="4">
        <f t="shared" si="1"/>
        <v>1.6911</v>
      </c>
      <c r="M32" s="5">
        <f t="shared" si="2"/>
        <v>4.6844999999999998E-2</v>
      </c>
      <c r="N32" s="4">
        <f t="shared" si="3"/>
        <v>3.7360950000000002</v>
      </c>
      <c r="O32" s="4">
        <f t="shared" si="4"/>
        <v>0.96609500000000015</v>
      </c>
    </row>
    <row r="33" spans="1:15" ht="22.5" customHeight="1" x14ac:dyDescent="0.25">
      <c r="A33" s="2" t="s">
        <v>19</v>
      </c>
      <c r="B33" s="2" t="s">
        <v>16</v>
      </c>
      <c r="C33" s="3">
        <v>44774</v>
      </c>
      <c r="D33" s="3">
        <v>44569</v>
      </c>
      <c r="E33" s="2">
        <v>4918</v>
      </c>
      <c r="F33" s="2">
        <v>432</v>
      </c>
      <c r="G33" s="2">
        <v>8.0299999999999994</v>
      </c>
      <c r="H33" s="6" t="s">
        <v>21</v>
      </c>
      <c r="I33" s="2">
        <v>460</v>
      </c>
      <c r="J33" s="2">
        <v>9.39</v>
      </c>
      <c r="K33" s="4">
        <f t="shared" si="0"/>
        <v>0.99792000000000003</v>
      </c>
      <c r="L33" s="4">
        <f t="shared" si="1"/>
        <v>2.2130999999999998</v>
      </c>
      <c r="M33" s="5">
        <f t="shared" si="2"/>
        <v>0.55406999999999995</v>
      </c>
      <c r="N33" s="4">
        <f t="shared" si="3"/>
        <v>3.7650899999999998</v>
      </c>
      <c r="O33" s="4">
        <f t="shared" si="4"/>
        <v>-5.6249100000000007</v>
      </c>
    </row>
    <row r="34" spans="1:15" ht="22.5" customHeight="1" x14ac:dyDescent="0.25">
      <c r="A34" s="2" t="s">
        <v>19</v>
      </c>
      <c r="B34" s="2" t="s">
        <v>16</v>
      </c>
      <c r="C34" s="3">
        <v>44805</v>
      </c>
      <c r="D34" s="3">
        <v>44570</v>
      </c>
      <c r="E34" s="2">
        <v>3457</v>
      </c>
      <c r="F34" s="2">
        <v>404</v>
      </c>
      <c r="G34" s="2">
        <v>1.49</v>
      </c>
      <c r="H34" s="6" t="s">
        <v>18</v>
      </c>
      <c r="I34" s="2">
        <v>453</v>
      </c>
      <c r="J34" s="2">
        <v>1.0900000000000001</v>
      </c>
      <c r="K34" s="4">
        <f t="shared" si="0"/>
        <v>0.93323999999999996</v>
      </c>
      <c r="L34" s="4">
        <f t="shared" si="1"/>
        <v>1.5556500000000002</v>
      </c>
      <c r="M34" s="5">
        <f t="shared" si="2"/>
        <v>0.40498200000000001</v>
      </c>
      <c r="N34" s="4">
        <f t="shared" si="3"/>
        <v>2.893872</v>
      </c>
      <c r="O34" s="4">
        <f t="shared" si="4"/>
        <v>1.8038719999999999</v>
      </c>
    </row>
    <row r="35" spans="1:15" ht="22.5" customHeight="1" x14ac:dyDescent="0.25">
      <c r="A35" s="2" t="s">
        <v>19</v>
      </c>
      <c r="B35" s="2" t="s">
        <v>16</v>
      </c>
      <c r="C35" s="3">
        <v>44835</v>
      </c>
      <c r="D35" s="3">
        <v>44571</v>
      </c>
      <c r="E35" s="2">
        <v>3996</v>
      </c>
      <c r="F35" s="2">
        <v>425</v>
      </c>
      <c r="G35" s="2">
        <v>8.19</v>
      </c>
      <c r="H35" s="6" t="s">
        <v>21</v>
      </c>
      <c r="I35" s="2">
        <v>191</v>
      </c>
      <c r="J35" s="2">
        <v>5.46</v>
      </c>
      <c r="K35" s="4">
        <f t="shared" si="0"/>
        <v>0.98175000000000001</v>
      </c>
      <c r="L35" s="4">
        <f t="shared" si="1"/>
        <v>1.7982</v>
      </c>
      <c r="M35" s="5">
        <f t="shared" si="2"/>
        <v>0.23464349999999995</v>
      </c>
      <c r="N35" s="4">
        <f t="shared" si="3"/>
        <v>3.0145934999999997</v>
      </c>
      <c r="O35" s="4">
        <f t="shared" si="4"/>
        <v>-2.4454065000000003</v>
      </c>
    </row>
    <row r="36" spans="1:15" ht="22.5" customHeight="1" x14ac:dyDescent="0.25">
      <c r="A36" s="2" t="s">
        <v>19</v>
      </c>
      <c r="B36" s="2" t="s">
        <v>16</v>
      </c>
      <c r="C36" s="3">
        <v>44866</v>
      </c>
      <c r="D36" s="3">
        <v>44572</v>
      </c>
      <c r="E36" s="2">
        <v>9545</v>
      </c>
      <c r="F36" s="2">
        <v>413</v>
      </c>
      <c r="G36" s="2">
        <v>1.8</v>
      </c>
      <c r="H36" s="6" t="s">
        <v>20</v>
      </c>
      <c r="I36" s="2">
        <v>110</v>
      </c>
      <c r="J36" s="2">
        <v>0.05</v>
      </c>
      <c r="K36" s="4">
        <f t="shared" si="0"/>
        <v>0.95402999999999993</v>
      </c>
      <c r="L36" s="4">
        <f t="shared" si="1"/>
        <v>4.2952500000000002</v>
      </c>
      <c r="M36" s="5">
        <f t="shared" si="2"/>
        <v>3.96E-3</v>
      </c>
      <c r="N36" s="4">
        <f t="shared" si="3"/>
        <v>5.2532400000000008</v>
      </c>
      <c r="O36" s="4">
        <f t="shared" si="4"/>
        <v>5.203240000000001</v>
      </c>
    </row>
    <row r="37" spans="1:15" ht="22.5" customHeight="1" x14ac:dyDescent="0.25">
      <c r="A37" s="2" t="s">
        <v>19</v>
      </c>
      <c r="B37" s="2" t="s">
        <v>16</v>
      </c>
      <c r="C37" s="3">
        <v>44896</v>
      </c>
      <c r="D37" s="3">
        <v>44573</v>
      </c>
      <c r="E37" s="2">
        <v>3129</v>
      </c>
      <c r="F37" s="2">
        <v>517</v>
      </c>
      <c r="G37" s="2">
        <v>2.96</v>
      </c>
      <c r="H37" s="6" t="s">
        <v>18</v>
      </c>
      <c r="I37" s="2">
        <v>396</v>
      </c>
      <c r="J37" s="2">
        <v>5.44</v>
      </c>
      <c r="K37" s="4">
        <f t="shared" si="0"/>
        <v>1.1942699999999999</v>
      </c>
      <c r="L37" s="4">
        <f t="shared" si="1"/>
        <v>1.40805</v>
      </c>
      <c r="M37" s="5">
        <f t="shared" si="2"/>
        <v>0.70329599999999992</v>
      </c>
      <c r="N37" s="4">
        <f t="shared" si="3"/>
        <v>3.3056159999999997</v>
      </c>
      <c r="O37" s="4">
        <f t="shared" si="4"/>
        <v>-2.1343840000000007</v>
      </c>
    </row>
    <row r="38" spans="1:15" ht="22.5" customHeight="1" x14ac:dyDescent="0.25">
      <c r="A38" s="2" t="s">
        <v>19</v>
      </c>
      <c r="B38" s="2" t="s">
        <v>16</v>
      </c>
      <c r="C38" s="3">
        <v>44927</v>
      </c>
      <c r="D38" s="3">
        <v>44927</v>
      </c>
      <c r="E38" s="2">
        <v>4123</v>
      </c>
      <c r="F38" s="2">
        <v>667</v>
      </c>
      <c r="G38" s="2">
        <v>8.7100000000000009</v>
      </c>
      <c r="H38" s="6" t="s">
        <v>17</v>
      </c>
      <c r="I38" s="2">
        <v>540</v>
      </c>
      <c r="J38" s="2">
        <v>5.39</v>
      </c>
      <c r="K38" s="4">
        <f t="shared" si="0"/>
        <v>1.54077</v>
      </c>
      <c r="L38" s="4">
        <f t="shared" si="1"/>
        <v>1.8553500000000001</v>
      </c>
      <c r="M38" s="5">
        <f t="shared" si="2"/>
        <v>0.14110200000000001</v>
      </c>
      <c r="N38" s="4">
        <f t="shared" si="3"/>
        <v>3.5372219999999999</v>
      </c>
      <c r="O38" s="4">
        <f t="shared" si="4"/>
        <v>-1.8527779999999998</v>
      </c>
    </row>
    <row r="39" spans="1:15" ht="22.5" customHeight="1" x14ac:dyDescent="0.25">
      <c r="A39" s="2" t="s">
        <v>19</v>
      </c>
      <c r="B39" s="2" t="s">
        <v>16</v>
      </c>
      <c r="C39" s="3">
        <v>44958</v>
      </c>
      <c r="D39" s="3">
        <v>44928</v>
      </c>
      <c r="E39" s="2">
        <v>4289</v>
      </c>
      <c r="F39" s="2">
        <v>598</v>
      </c>
      <c r="G39" s="2">
        <v>1.9</v>
      </c>
      <c r="H39" s="6" t="s">
        <v>21</v>
      </c>
      <c r="I39" s="2">
        <v>135</v>
      </c>
      <c r="J39" s="2">
        <v>3.66</v>
      </c>
      <c r="K39" s="4">
        <f t="shared" si="0"/>
        <v>1.3813800000000001</v>
      </c>
      <c r="L39" s="4">
        <f t="shared" si="1"/>
        <v>1.93005</v>
      </c>
      <c r="M39" s="5">
        <f t="shared" si="2"/>
        <v>3.8475000000000002E-2</v>
      </c>
      <c r="N39" s="4">
        <f t="shared" si="3"/>
        <v>3.3499050000000001</v>
      </c>
      <c r="O39" s="4">
        <f t="shared" si="4"/>
        <v>-0.31009500000000001</v>
      </c>
    </row>
    <row r="40" spans="1:15" ht="22.5" customHeight="1" x14ac:dyDescent="0.25">
      <c r="A40" s="2" t="s">
        <v>19</v>
      </c>
      <c r="B40" s="2" t="s">
        <v>16</v>
      </c>
      <c r="C40" s="3">
        <v>44986</v>
      </c>
      <c r="D40" s="3">
        <v>44929</v>
      </c>
      <c r="E40" s="2">
        <v>8751</v>
      </c>
      <c r="F40" s="2">
        <v>1073</v>
      </c>
      <c r="G40" s="2">
        <v>4.8</v>
      </c>
      <c r="H40" s="6" t="s">
        <v>20</v>
      </c>
      <c r="I40" s="2">
        <v>173</v>
      </c>
      <c r="J40" s="2">
        <v>9.14</v>
      </c>
      <c r="K40" s="4">
        <f t="shared" si="0"/>
        <v>2.4786299999999999</v>
      </c>
      <c r="L40" s="4">
        <f t="shared" si="1"/>
        <v>3.9379500000000003</v>
      </c>
      <c r="M40" s="5">
        <f t="shared" si="2"/>
        <v>1.6608000000000001E-2</v>
      </c>
      <c r="N40" s="4">
        <f t="shared" si="3"/>
        <v>6.4331879999999995</v>
      </c>
      <c r="O40" s="4">
        <f t="shared" si="4"/>
        <v>-2.7068120000000011</v>
      </c>
    </row>
    <row r="41" spans="1:15" ht="22.5" customHeight="1" x14ac:dyDescent="0.25">
      <c r="A41" s="2" t="s">
        <v>19</v>
      </c>
      <c r="B41" s="2" t="s">
        <v>16</v>
      </c>
      <c r="C41" s="3">
        <v>45017</v>
      </c>
      <c r="D41" s="3">
        <v>44930</v>
      </c>
      <c r="E41" s="2">
        <v>6092</v>
      </c>
      <c r="F41" s="2">
        <v>324</v>
      </c>
      <c r="G41" s="2">
        <v>3.68</v>
      </c>
      <c r="H41" s="6" t="s">
        <v>18</v>
      </c>
      <c r="I41" s="2">
        <v>430</v>
      </c>
      <c r="J41" s="2">
        <v>6.07</v>
      </c>
      <c r="K41" s="4">
        <f t="shared" si="0"/>
        <v>0.74844000000000011</v>
      </c>
      <c r="L41" s="4">
        <f t="shared" si="1"/>
        <v>2.7414000000000001</v>
      </c>
      <c r="M41" s="5">
        <f t="shared" si="2"/>
        <v>0.94944000000000006</v>
      </c>
      <c r="N41" s="4">
        <f t="shared" si="3"/>
        <v>4.4392800000000001</v>
      </c>
      <c r="O41" s="4">
        <f t="shared" si="4"/>
        <v>-1.6307200000000002</v>
      </c>
    </row>
    <row r="42" spans="1:15" ht="22.5" customHeight="1" x14ac:dyDescent="0.25">
      <c r="A42" s="2" t="s">
        <v>19</v>
      </c>
      <c r="B42" s="2" t="s">
        <v>16</v>
      </c>
      <c r="C42" s="3">
        <v>45047</v>
      </c>
      <c r="D42" s="3">
        <v>44931</v>
      </c>
      <c r="E42" s="2">
        <v>8678</v>
      </c>
      <c r="F42" s="2">
        <v>523</v>
      </c>
      <c r="G42" s="2">
        <v>9.24</v>
      </c>
      <c r="H42" s="6" t="s">
        <v>20</v>
      </c>
      <c r="I42" s="2">
        <v>335</v>
      </c>
      <c r="J42" s="2">
        <v>6.89</v>
      </c>
      <c r="K42" s="4">
        <f t="shared" si="0"/>
        <v>1.2081300000000001</v>
      </c>
      <c r="L42" s="4">
        <f t="shared" si="1"/>
        <v>3.9051</v>
      </c>
      <c r="M42" s="5">
        <f t="shared" si="2"/>
        <v>6.1908000000000005E-2</v>
      </c>
      <c r="N42" s="4">
        <f t="shared" si="3"/>
        <v>5.1751379999999996</v>
      </c>
      <c r="O42" s="4">
        <f t="shared" si="4"/>
        <v>-1.7148620000000001</v>
      </c>
    </row>
    <row r="43" spans="1:15" ht="22.5" customHeight="1" x14ac:dyDescent="0.25">
      <c r="A43" s="2" t="s">
        <v>19</v>
      </c>
      <c r="B43" s="2" t="s">
        <v>16</v>
      </c>
      <c r="C43" s="3">
        <v>45078</v>
      </c>
      <c r="D43" s="3">
        <v>44932</v>
      </c>
      <c r="E43" s="2">
        <v>7389</v>
      </c>
      <c r="F43" s="2">
        <v>378</v>
      </c>
      <c r="G43" s="2">
        <v>2</v>
      </c>
      <c r="H43" s="6" t="s">
        <v>18</v>
      </c>
      <c r="I43" s="2">
        <v>916</v>
      </c>
      <c r="J43" s="2">
        <v>3.44</v>
      </c>
      <c r="K43" s="4">
        <f t="shared" si="0"/>
        <v>0.87318000000000007</v>
      </c>
      <c r="L43" s="4">
        <f t="shared" si="1"/>
        <v>3.3250500000000001</v>
      </c>
      <c r="M43" s="5">
        <f t="shared" si="2"/>
        <v>1.0992</v>
      </c>
      <c r="N43" s="4">
        <f t="shared" si="3"/>
        <v>5.2974300000000003</v>
      </c>
      <c r="O43" s="4">
        <f t="shared" si="4"/>
        <v>1.8574300000000004</v>
      </c>
    </row>
    <row r="44" spans="1:15" ht="22.5" customHeight="1" x14ac:dyDescent="0.25">
      <c r="A44" s="2" t="s">
        <v>19</v>
      </c>
      <c r="B44" s="2" t="s">
        <v>16</v>
      </c>
      <c r="C44" s="3">
        <v>45108</v>
      </c>
      <c r="D44" s="3">
        <v>44933</v>
      </c>
      <c r="E44" s="2">
        <v>9612</v>
      </c>
      <c r="F44" s="2">
        <v>1166</v>
      </c>
      <c r="G44" s="2">
        <v>6.85</v>
      </c>
      <c r="H44" s="6" t="s">
        <v>18</v>
      </c>
      <c r="I44" s="2">
        <v>883</v>
      </c>
      <c r="J44" s="2">
        <v>7.68</v>
      </c>
      <c r="K44" s="4">
        <f t="shared" si="0"/>
        <v>2.69346</v>
      </c>
      <c r="L44" s="4">
        <f t="shared" si="1"/>
        <v>4.3254000000000001</v>
      </c>
      <c r="M44" s="5">
        <f t="shared" si="2"/>
        <v>3.6291299999999995</v>
      </c>
      <c r="N44" s="4">
        <f t="shared" si="3"/>
        <v>10.64799</v>
      </c>
      <c r="O44" s="4">
        <f t="shared" si="4"/>
        <v>2.9679900000000004</v>
      </c>
    </row>
    <row r="45" spans="1:15" ht="22.5" customHeight="1" x14ac:dyDescent="0.25">
      <c r="A45" s="2" t="s">
        <v>19</v>
      </c>
      <c r="B45" s="2" t="s">
        <v>16</v>
      </c>
      <c r="C45" s="3">
        <v>45139</v>
      </c>
      <c r="D45" s="3">
        <v>44934</v>
      </c>
      <c r="E45" s="2">
        <v>5474</v>
      </c>
      <c r="F45" s="2">
        <v>1078</v>
      </c>
      <c r="G45" s="2">
        <v>5.29</v>
      </c>
      <c r="H45" s="6" t="s">
        <v>18</v>
      </c>
      <c r="I45" s="2">
        <v>954</v>
      </c>
      <c r="J45" s="2">
        <v>8.7799999999999994</v>
      </c>
      <c r="K45" s="4">
        <f t="shared" si="0"/>
        <v>2.4901799999999996</v>
      </c>
      <c r="L45" s="4">
        <f t="shared" si="1"/>
        <v>2.4633000000000003</v>
      </c>
      <c r="M45" s="5">
        <f t="shared" si="2"/>
        <v>3.0279959999999999</v>
      </c>
      <c r="N45" s="4">
        <f t="shared" si="3"/>
        <v>7.9814759999999998</v>
      </c>
      <c r="O45" s="4">
        <f t="shared" si="4"/>
        <v>-0.79852399999999957</v>
      </c>
    </row>
    <row r="46" spans="1:15" ht="22.5" customHeight="1" x14ac:dyDescent="0.25">
      <c r="A46" s="2" t="s">
        <v>19</v>
      </c>
      <c r="B46" s="2" t="s">
        <v>16</v>
      </c>
      <c r="C46" s="3">
        <v>45170</v>
      </c>
      <c r="D46" s="3">
        <v>44935</v>
      </c>
      <c r="E46" s="2">
        <v>5339</v>
      </c>
      <c r="F46" s="2">
        <v>742</v>
      </c>
      <c r="G46" s="2">
        <v>5.67</v>
      </c>
      <c r="H46" s="6" t="s">
        <v>20</v>
      </c>
      <c r="I46" s="2">
        <v>555</v>
      </c>
      <c r="J46" s="2">
        <v>3.24</v>
      </c>
      <c r="K46" s="4">
        <f t="shared" si="0"/>
        <v>1.7140199999999999</v>
      </c>
      <c r="L46" s="4">
        <f t="shared" si="1"/>
        <v>2.4025500000000002</v>
      </c>
      <c r="M46" s="5">
        <f t="shared" si="2"/>
        <v>6.2936999999999993E-2</v>
      </c>
      <c r="N46" s="4">
        <f t="shared" si="3"/>
        <v>4.1795070000000001</v>
      </c>
      <c r="O46" s="4">
        <f t="shared" si="4"/>
        <v>0.93950699999999987</v>
      </c>
    </row>
    <row r="47" spans="1:15" ht="22.5" customHeight="1" x14ac:dyDescent="0.25">
      <c r="A47" s="2" t="s">
        <v>19</v>
      </c>
      <c r="B47" s="2" t="s">
        <v>16</v>
      </c>
      <c r="C47" s="3">
        <v>45200</v>
      </c>
      <c r="D47" s="3">
        <v>44936</v>
      </c>
      <c r="E47" s="2">
        <v>5967</v>
      </c>
      <c r="F47" s="2">
        <v>1168</v>
      </c>
      <c r="G47" s="2">
        <v>7.69</v>
      </c>
      <c r="H47" s="6" t="s">
        <v>17</v>
      </c>
      <c r="I47" s="2">
        <v>825</v>
      </c>
      <c r="J47" s="2">
        <v>3.27</v>
      </c>
      <c r="K47" s="4">
        <f t="shared" si="0"/>
        <v>2.69808</v>
      </c>
      <c r="L47" s="4">
        <f t="shared" si="1"/>
        <v>2.6851500000000001</v>
      </c>
      <c r="M47" s="5">
        <f t="shared" si="2"/>
        <v>0.19032750000000001</v>
      </c>
      <c r="N47" s="4">
        <f t="shared" si="3"/>
        <v>5.5735575000000006</v>
      </c>
      <c r="O47" s="4">
        <f t="shared" si="4"/>
        <v>2.3035575000000006</v>
      </c>
    </row>
    <row r="48" spans="1:15" ht="22.5" customHeight="1" x14ac:dyDescent="0.25">
      <c r="A48" s="2" t="s">
        <v>19</v>
      </c>
      <c r="B48" s="2" t="s">
        <v>16</v>
      </c>
      <c r="C48" s="3">
        <v>45231</v>
      </c>
      <c r="D48" s="3">
        <v>44937</v>
      </c>
      <c r="E48" s="2">
        <v>6482</v>
      </c>
      <c r="F48" s="2">
        <v>776</v>
      </c>
      <c r="G48" s="2">
        <v>5.8</v>
      </c>
      <c r="H48" s="6" t="s">
        <v>17</v>
      </c>
      <c r="I48" s="2">
        <v>553</v>
      </c>
      <c r="J48" s="2">
        <v>1.77</v>
      </c>
      <c r="K48" s="4">
        <f t="shared" si="0"/>
        <v>1.7925599999999999</v>
      </c>
      <c r="L48" s="4">
        <f t="shared" si="1"/>
        <v>2.9169</v>
      </c>
      <c r="M48" s="5">
        <f t="shared" si="2"/>
        <v>9.6221999999999988E-2</v>
      </c>
      <c r="N48" s="4">
        <f t="shared" si="3"/>
        <v>4.805682</v>
      </c>
      <c r="O48" s="4">
        <f t="shared" si="4"/>
        <v>3.035682</v>
      </c>
    </row>
    <row r="49" spans="1:15" ht="22.5" customHeight="1" x14ac:dyDescent="0.25">
      <c r="A49" s="2" t="s">
        <v>19</v>
      </c>
      <c r="B49" s="2" t="s">
        <v>16</v>
      </c>
      <c r="C49" s="3">
        <v>45261</v>
      </c>
      <c r="D49" s="3">
        <v>44938</v>
      </c>
      <c r="E49" s="2">
        <v>4434</v>
      </c>
      <c r="F49" s="2">
        <v>872</v>
      </c>
      <c r="G49" s="2">
        <v>4.57</v>
      </c>
      <c r="H49" s="6" t="s">
        <v>17</v>
      </c>
      <c r="I49" s="2">
        <v>937</v>
      </c>
      <c r="J49" s="2">
        <v>9.8800000000000008</v>
      </c>
      <c r="K49" s="4">
        <f t="shared" si="0"/>
        <v>2.0143200000000001</v>
      </c>
      <c r="L49" s="4">
        <f t="shared" si="1"/>
        <v>1.9952999999999999</v>
      </c>
      <c r="M49" s="5">
        <f t="shared" si="2"/>
        <v>0.12846270000000001</v>
      </c>
      <c r="N49" s="4">
        <f t="shared" si="3"/>
        <v>4.1380827</v>
      </c>
      <c r="O49" s="4">
        <f t="shared" si="4"/>
        <v>-5.7419173000000008</v>
      </c>
    </row>
    <row r="50" spans="1:15" ht="22.5" customHeight="1" x14ac:dyDescent="0.25">
      <c r="A50" s="2" t="s">
        <v>19</v>
      </c>
      <c r="B50" s="2" t="s">
        <v>16</v>
      </c>
      <c r="C50" s="3">
        <v>45292</v>
      </c>
      <c r="D50" s="3">
        <v>45292</v>
      </c>
      <c r="E50" s="2">
        <v>7255</v>
      </c>
      <c r="F50" s="2">
        <v>379</v>
      </c>
      <c r="G50" s="2">
        <v>7.59</v>
      </c>
      <c r="H50" s="6" t="s">
        <v>17</v>
      </c>
      <c r="I50" s="2">
        <v>287</v>
      </c>
      <c r="J50" s="2">
        <v>8.61</v>
      </c>
      <c r="K50" s="4">
        <f t="shared" si="0"/>
        <v>0.87548999999999999</v>
      </c>
      <c r="L50" s="4">
        <f t="shared" si="1"/>
        <v>3.2647499999999998</v>
      </c>
      <c r="M50" s="5">
        <f t="shared" si="2"/>
        <v>6.5349899999999989E-2</v>
      </c>
      <c r="N50" s="4">
        <f t="shared" si="3"/>
        <v>4.2055898999999997</v>
      </c>
      <c r="O50" s="4">
        <f t="shared" si="4"/>
        <v>-4.4044100999999998</v>
      </c>
    </row>
    <row r="51" spans="1:15" ht="22.5" customHeight="1" x14ac:dyDescent="0.25">
      <c r="A51" s="2" t="s">
        <v>19</v>
      </c>
      <c r="B51" s="2" t="s">
        <v>16</v>
      </c>
      <c r="C51" s="3">
        <v>45323</v>
      </c>
      <c r="D51" s="3">
        <v>45293</v>
      </c>
      <c r="E51" s="2">
        <v>9704</v>
      </c>
      <c r="F51" s="2">
        <v>1173</v>
      </c>
      <c r="G51" s="2">
        <v>6.04</v>
      </c>
      <c r="H51" s="6" t="s">
        <v>17</v>
      </c>
      <c r="I51" s="2">
        <v>321</v>
      </c>
      <c r="J51" s="2">
        <v>2.61</v>
      </c>
      <c r="K51" s="4">
        <f t="shared" si="0"/>
        <v>2.7096300000000002</v>
      </c>
      <c r="L51" s="4">
        <f t="shared" si="1"/>
        <v>4.3668000000000005</v>
      </c>
      <c r="M51" s="5">
        <f t="shared" si="2"/>
        <v>5.8165199999999993E-2</v>
      </c>
      <c r="N51" s="4">
        <f t="shared" si="3"/>
        <v>7.1345952000000006</v>
      </c>
      <c r="O51" s="4">
        <f t="shared" si="4"/>
        <v>4.5245952000000003</v>
      </c>
    </row>
    <row r="52" spans="1:15" ht="22.5" customHeight="1" x14ac:dyDescent="0.25">
      <c r="A52" s="2" t="s">
        <v>19</v>
      </c>
      <c r="B52" s="2" t="s">
        <v>16</v>
      </c>
      <c r="C52" s="3">
        <v>45352</v>
      </c>
      <c r="D52" s="3">
        <v>45294</v>
      </c>
      <c r="E52" s="2">
        <v>3746</v>
      </c>
      <c r="F52" s="2">
        <v>1047</v>
      </c>
      <c r="G52" s="2">
        <v>5.77</v>
      </c>
      <c r="H52" s="6" t="s">
        <v>21</v>
      </c>
      <c r="I52" s="2">
        <v>129</v>
      </c>
      <c r="J52" s="2">
        <v>3.32</v>
      </c>
      <c r="K52" s="4">
        <f t="shared" si="0"/>
        <v>2.4185700000000003</v>
      </c>
      <c r="L52" s="4">
        <f t="shared" si="1"/>
        <v>1.6857</v>
      </c>
      <c r="M52" s="5">
        <f t="shared" si="2"/>
        <v>0.11164949999999997</v>
      </c>
      <c r="N52" s="4">
        <f t="shared" si="3"/>
        <v>4.2159195000000009</v>
      </c>
      <c r="O52" s="4">
        <f t="shared" si="4"/>
        <v>0.89591950000000109</v>
      </c>
    </row>
    <row r="53" spans="1:15" ht="22.5" customHeight="1" x14ac:dyDescent="0.25">
      <c r="A53" s="2" t="s">
        <v>19</v>
      </c>
      <c r="B53" s="2" t="s">
        <v>16</v>
      </c>
      <c r="C53" s="3">
        <v>45383</v>
      </c>
      <c r="D53" s="3">
        <v>45295</v>
      </c>
      <c r="E53" s="2">
        <v>9532</v>
      </c>
      <c r="F53" s="2">
        <v>306</v>
      </c>
      <c r="G53" s="2">
        <v>3.78</v>
      </c>
      <c r="H53" s="6" t="s">
        <v>18</v>
      </c>
      <c r="I53" s="2">
        <v>954</v>
      </c>
      <c r="J53" s="2">
        <v>9.2799999999999994</v>
      </c>
      <c r="K53" s="4">
        <f t="shared" si="0"/>
        <v>0.70686000000000004</v>
      </c>
      <c r="L53" s="4">
        <f t="shared" si="1"/>
        <v>4.2894000000000005</v>
      </c>
      <c r="M53" s="5">
        <f t="shared" si="2"/>
        <v>2.163672</v>
      </c>
      <c r="N53" s="4">
        <f t="shared" si="3"/>
        <v>7.1599320000000004</v>
      </c>
      <c r="O53" s="4">
        <f t="shared" si="4"/>
        <v>-2.120067999999999</v>
      </c>
    </row>
    <row r="54" spans="1:15" ht="22.5" customHeight="1" x14ac:dyDescent="0.25">
      <c r="A54" s="2" t="s">
        <v>19</v>
      </c>
      <c r="B54" s="2" t="s">
        <v>16</v>
      </c>
      <c r="C54" s="3">
        <v>45413</v>
      </c>
      <c r="D54" s="3">
        <v>45296</v>
      </c>
      <c r="E54" s="2">
        <v>6546</v>
      </c>
      <c r="F54" s="2">
        <v>1057</v>
      </c>
      <c r="G54" s="2">
        <v>1.73</v>
      </c>
      <c r="H54" s="6" t="s">
        <v>20</v>
      </c>
      <c r="I54" s="2">
        <v>104</v>
      </c>
      <c r="J54" s="2">
        <v>3.11</v>
      </c>
      <c r="K54" s="4">
        <f t="shared" si="0"/>
        <v>2.4416700000000002</v>
      </c>
      <c r="L54" s="4">
        <f t="shared" si="1"/>
        <v>2.9457000000000004</v>
      </c>
      <c r="M54" s="5">
        <f t="shared" si="2"/>
        <v>3.5984000000000003E-3</v>
      </c>
      <c r="N54" s="4">
        <f t="shared" si="3"/>
        <v>5.3909684000000002</v>
      </c>
      <c r="O54" s="4">
        <f t="shared" si="4"/>
        <v>2.2809684000000003</v>
      </c>
    </row>
    <row r="55" spans="1:15" ht="22.5" customHeight="1" x14ac:dyDescent="0.25">
      <c r="A55" s="2" t="s">
        <v>19</v>
      </c>
      <c r="B55" s="2" t="s">
        <v>16</v>
      </c>
      <c r="C55" s="3">
        <v>45444</v>
      </c>
      <c r="D55" s="3">
        <v>45297</v>
      </c>
      <c r="E55" s="2">
        <v>5347</v>
      </c>
      <c r="F55" s="2">
        <v>1042</v>
      </c>
      <c r="G55" s="2">
        <v>4.58</v>
      </c>
      <c r="H55" s="6" t="s">
        <v>21</v>
      </c>
      <c r="I55" s="2">
        <v>696</v>
      </c>
      <c r="J55" s="2">
        <v>2.13</v>
      </c>
      <c r="K55" s="4">
        <f t="shared" si="0"/>
        <v>2.4070200000000002</v>
      </c>
      <c r="L55" s="4">
        <f t="shared" si="1"/>
        <v>2.4061500000000002</v>
      </c>
      <c r="M55" s="5">
        <f t="shared" si="2"/>
        <v>0.47815199999999997</v>
      </c>
      <c r="N55" s="4">
        <f t="shared" si="3"/>
        <v>5.2913220000000001</v>
      </c>
      <c r="O55" s="4">
        <f t="shared" si="4"/>
        <v>3.1613220000000002</v>
      </c>
    </row>
    <row r="56" spans="1:15" ht="22.5" customHeight="1" x14ac:dyDescent="0.25">
      <c r="A56" s="2" t="s">
        <v>19</v>
      </c>
      <c r="B56" s="2" t="s">
        <v>16</v>
      </c>
      <c r="C56" s="3">
        <v>45474</v>
      </c>
      <c r="D56" s="3">
        <v>45298</v>
      </c>
      <c r="E56" s="2">
        <v>6683</v>
      </c>
      <c r="F56" s="2">
        <v>294</v>
      </c>
      <c r="G56" s="2">
        <v>3.03</v>
      </c>
      <c r="H56" s="6" t="s">
        <v>18</v>
      </c>
      <c r="I56" s="2">
        <v>698</v>
      </c>
      <c r="J56" s="2">
        <v>7.64</v>
      </c>
      <c r="K56" s="4">
        <f t="shared" si="0"/>
        <v>0.67913999999999997</v>
      </c>
      <c r="L56" s="4">
        <f t="shared" si="1"/>
        <v>3.0073499999999997</v>
      </c>
      <c r="M56" s="5">
        <f t="shared" si="2"/>
        <v>1.268964</v>
      </c>
      <c r="N56" s="4">
        <f t="shared" si="3"/>
        <v>4.9554539999999996</v>
      </c>
      <c r="O56" s="4">
        <f t="shared" si="4"/>
        <v>-2.6845460000000001</v>
      </c>
    </row>
    <row r="57" spans="1:15" ht="22.5" customHeight="1" x14ac:dyDescent="0.25">
      <c r="A57" s="2" t="s">
        <v>19</v>
      </c>
      <c r="B57" s="2" t="s">
        <v>16</v>
      </c>
      <c r="C57" s="3">
        <v>45505</v>
      </c>
      <c r="D57" s="3">
        <v>45299</v>
      </c>
      <c r="E57" s="2">
        <v>7217</v>
      </c>
      <c r="F57" s="2">
        <v>520</v>
      </c>
      <c r="G57" s="2">
        <v>8.94</v>
      </c>
      <c r="H57" s="6" t="s">
        <v>18</v>
      </c>
      <c r="I57" s="2">
        <v>491</v>
      </c>
      <c r="J57" s="2">
        <v>6.84</v>
      </c>
      <c r="K57" s="4">
        <f t="shared" si="0"/>
        <v>1.2012</v>
      </c>
      <c r="L57" s="4">
        <f t="shared" si="1"/>
        <v>3.2476500000000001</v>
      </c>
      <c r="M57" s="5">
        <f t="shared" si="2"/>
        <v>2.6337239999999995</v>
      </c>
      <c r="N57" s="4">
        <f t="shared" si="3"/>
        <v>7.0825739999999993</v>
      </c>
      <c r="O57" s="4">
        <f t="shared" si="4"/>
        <v>0.2425739999999994</v>
      </c>
    </row>
    <row r="58" spans="1:15" ht="22.5" customHeight="1" x14ac:dyDescent="0.25">
      <c r="A58" s="2" t="s">
        <v>19</v>
      </c>
      <c r="B58" s="2" t="s">
        <v>16</v>
      </c>
      <c r="C58" s="3">
        <v>45536</v>
      </c>
      <c r="D58" s="3">
        <v>45300</v>
      </c>
      <c r="E58" s="2">
        <v>5054</v>
      </c>
      <c r="F58" s="2">
        <v>761</v>
      </c>
      <c r="G58" s="2">
        <v>5.86</v>
      </c>
      <c r="H58" s="6" t="s">
        <v>18</v>
      </c>
      <c r="I58" s="2">
        <v>667</v>
      </c>
      <c r="J58" s="2">
        <v>7.98</v>
      </c>
      <c r="K58" s="4">
        <f t="shared" si="0"/>
        <v>1.7579100000000001</v>
      </c>
      <c r="L58" s="4">
        <f t="shared" si="1"/>
        <v>2.2743000000000002</v>
      </c>
      <c r="M58" s="5">
        <f t="shared" si="2"/>
        <v>2.3451719999999998</v>
      </c>
      <c r="N58" s="4">
        <f t="shared" si="3"/>
        <v>6.3773819999999999</v>
      </c>
      <c r="O58" s="4">
        <f t="shared" si="4"/>
        <v>-1.6026180000000005</v>
      </c>
    </row>
    <row r="59" spans="1:15" ht="22.5" customHeight="1" x14ac:dyDescent="0.25">
      <c r="A59" s="2" t="s">
        <v>19</v>
      </c>
      <c r="B59" s="2" t="s">
        <v>16</v>
      </c>
      <c r="C59" s="3">
        <v>45566</v>
      </c>
      <c r="D59" s="3">
        <v>45301</v>
      </c>
      <c r="E59" s="2">
        <v>9893</v>
      </c>
      <c r="F59" s="2">
        <v>612</v>
      </c>
      <c r="G59" s="2">
        <v>4.72</v>
      </c>
      <c r="H59" s="6" t="s">
        <v>18</v>
      </c>
      <c r="I59" s="2">
        <v>773</v>
      </c>
      <c r="J59" s="2">
        <v>8.64</v>
      </c>
      <c r="K59" s="4">
        <f t="shared" si="0"/>
        <v>1.4137200000000001</v>
      </c>
      <c r="L59" s="4">
        <f t="shared" si="1"/>
        <v>4.4518500000000003</v>
      </c>
      <c r="M59" s="5">
        <f t="shared" si="2"/>
        <v>2.1891359999999995</v>
      </c>
      <c r="N59" s="4">
        <f t="shared" si="3"/>
        <v>8.0547059999999995</v>
      </c>
      <c r="O59" s="4">
        <f t="shared" si="4"/>
        <v>-0.58529400000000109</v>
      </c>
    </row>
    <row r="60" spans="1:15" ht="22.5" customHeight="1" x14ac:dyDescent="0.25">
      <c r="A60" s="2" t="s">
        <v>19</v>
      </c>
      <c r="B60" s="2" t="s">
        <v>16</v>
      </c>
      <c r="C60" s="3">
        <v>45597</v>
      </c>
      <c r="D60" s="3">
        <v>45302</v>
      </c>
      <c r="E60" s="2">
        <v>8180</v>
      </c>
      <c r="F60" s="2">
        <v>870</v>
      </c>
      <c r="G60" s="2">
        <v>4.72</v>
      </c>
      <c r="H60" s="6" t="s">
        <v>20</v>
      </c>
      <c r="I60" s="2">
        <v>876</v>
      </c>
      <c r="J60" s="2">
        <v>8.32</v>
      </c>
      <c r="K60" s="4">
        <f t="shared" si="0"/>
        <v>2.0097</v>
      </c>
      <c r="L60" s="4">
        <f t="shared" si="1"/>
        <v>3.681</v>
      </c>
      <c r="M60" s="5">
        <f t="shared" si="2"/>
        <v>8.2694399999999987E-2</v>
      </c>
      <c r="N60" s="4">
        <f t="shared" si="3"/>
        <v>5.7733943999999999</v>
      </c>
      <c r="O60" s="4">
        <f t="shared" si="4"/>
        <v>-2.5466056000000004</v>
      </c>
    </row>
    <row r="61" spans="1:15" ht="22.5" customHeight="1" x14ac:dyDescent="0.25">
      <c r="A61" s="2" t="s">
        <v>19</v>
      </c>
      <c r="B61" s="2" t="s">
        <v>16</v>
      </c>
      <c r="C61" s="3">
        <v>45627</v>
      </c>
      <c r="D61" s="3">
        <v>45303</v>
      </c>
      <c r="E61" s="2">
        <v>9828</v>
      </c>
      <c r="F61" s="2">
        <v>280</v>
      </c>
      <c r="G61" s="2">
        <v>9.35</v>
      </c>
      <c r="H61" s="6" t="s">
        <v>18</v>
      </c>
      <c r="I61" s="2">
        <v>90</v>
      </c>
      <c r="J61" s="2">
        <v>7.68</v>
      </c>
      <c r="K61" s="4">
        <f t="shared" si="0"/>
        <v>0.64680000000000004</v>
      </c>
      <c r="L61" s="4">
        <f t="shared" si="1"/>
        <v>4.4226000000000001</v>
      </c>
      <c r="M61" s="5">
        <f t="shared" si="2"/>
        <v>0.50490000000000002</v>
      </c>
      <c r="N61" s="4">
        <f t="shared" si="3"/>
        <v>5.5743</v>
      </c>
      <c r="O61" s="4">
        <f t="shared" si="4"/>
        <v>-2.1056999999999997</v>
      </c>
    </row>
    <row r="62" spans="1:15" ht="22.5" customHeight="1" x14ac:dyDescent="0.25">
      <c r="A62" s="2" t="s">
        <v>19</v>
      </c>
      <c r="B62" s="2" t="s">
        <v>16</v>
      </c>
      <c r="C62" s="3">
        <v>45658</v>
      </c>
      <c r="D62" s="3">
        <v>45658</v>
      </c>
      <c r="E62" s="2">
        <v>3453</v>
      </c>
      <c r="F62" s="2">
        <v>379</v>
      </c>
      <c r="G62" s="2">
        <v>7.26</v>
      </c>
      <c r="H62" s="6" t="s">
        <v>20</v>
      </c>
      <c r="I62" s="2">
        <v>786</v>
      </c>
      <c r="J62" s="2">
        <v>1.0900000000000001</v>
      </c>
      <c r="K62" s="4">
        <f t="shared" si="0"/>
        <v>0.87548999999999999</v>
      </c>
      <c r="L62" s="4">
        <f t="shared" si="1"/>
        <v>1.5538500000000002</v>
      </c>
      <c r="M62" s="5">
        <f t="shared" si="2"/>
        <v>0.1141272</v>
      </c>
      <c r="N62" s="4">
        <f t="shared" si="3"/>
        <v>2.5434672000000003</v>
      </c>
      <c r="O62" s="4">
        <f t="shared" si="4"/>
        <v>1.4534672000000002</v>
      </c>
    </row>
    <row r="63" spans="1:15" ht="22.5" customHeight="1" x14ac:dyDescent="0.25">
      <c r="A63" s="2" t="s">
        <v>19</v>
      </c>
      <c r="B63" s="2" t="s">
        <v>16</v>
      </c>
      <c r="C63" s="3">
        <v>45689</v>
      </c>
      <c r="D63" s="3">
        <v>45659</v>
      </c>
      <c r="E63" s="2">
        <v>4483</v>
      </c>
      <c r="F63" s="2">
        <v>1043</v>
      </c>
      <c r="G63" s="2">
        <v>8.27</v>
      </c>
      <c r="H63" s="6" t="s">
        <v>17</v>
      </c>
      <c r="I63" s="2">
        <v>824</v>
      </c>
      <c r="J63" s="2">
        <v>9.59</v>
      </c>
      <c r="K63" s="4">
        <f t="shared" si="0"/>
        <v>2.4093299999999997</v>
      </c>
      <c r="L63" s="4">
        <f t="shared" si="1"/>
        <v>2.01735</v>
      </c>
      <c r="M63" s="5">
        <f t="shared" si="2"/>
        <v>0.20443439999999999</v>
      </c>
      <c r="N63" s="4">
        <f t="shared" si="3"/>
        <v>4.6311143999999995</v>
      </c>
      <c r="O63" s="4">
        <f t="shared" si="4"/>
        <v>-4.9588856000000003</v>
      </c>
    </row>
    <row r="64" spans="1:15" ht="22.5" customHeight="1" x14ac:dyDescent="0.25">
      <c r="A64" s="2" t="s">
        <v>19</v>
      </c>
      <c r="B64" s="2" t="s">
        <v>16</v>
      </c>
      <c r="C64" s="3">
        <v>45717</v>
      </c>
      <c r="D64" s="3">
        <v>45660</v>
      </c>
      <c r="E64" s="2">
        <v>5919</v>
      </c>
      <c r="F64" s="2">
        <v>688</v>
      </c>
      <c r="G64" s="2">
        <v>6.73</v>
      </c>
      <c r="H64" s="6" t="s">
        <v>21</v>
      </c>
      <c r="I64" s="2">
        <v>715</v>
      </c>
      <c r="J64" s="2">
        <v>3.75</v>
      </c>
      <c r="K64" s="4">
        <f t="shared" si="0"/>
        <v>1.58928</v>
      </c>
      <c r="L64" s="4">
        <f t="shared" si="1"/>
        <v>2.6635500000000003</v>
      </c>
      <c r="M64" s="5">
        <f t="shared" si="2"/>
        <v>0.72179250000000006</v>
      </c>
      <c r="N64" s="4">
        <f t="shared" si="3"/>
        <v>4.9746225000000006</v>
      </c>
      <c r="O64" s="4">
        <f t="shared" si="4"/>
        <v>1.2246225000000006</v>
      </c>
    </row>
    <row r="65" spans="1:15" ht="22.5" customHeight="1" x14ac:dyDescent="0.25">
      <c r="A65" s="2" t="s">
        <v>19</v>
      </c>
      <c r="B65" s="2" t="s">
        <v>16</v>
      </c>
      <c r="C65" s="3">
        <v>45748</v>
      </c>
      <c r="D65" s="3">
        <v>45661</v>
      </c>
      <c r="E65" s="2">
        <v>5275</v>
      </c>
      <c r="F65" s="2">
        <v>214</v>
      </c>
      <c r="G65" s="2">
        <v>3.88</v>
      </c>
      <c r="H65" s="6" t="s">
        <v>21</v>
      </c>
      <c r="I65" s="2">
        <v>470</v>
      </c>
      <c r="J65" s="2">
        <v>0.65</v>
      </c>
      <c r="K65" s="4">
        <f t="shared" si="0"/>
        <v>0.49434000000000006</v>
      </c>
      <c r="L65" s="4">
        <f t="shared" si="1"/>
        <v>2.3737499999999998</v>
      </c>
      <c r="M65" s="5">
        <f t="shared" si="2"/>
        <v>0.27354000000000001</v>
      </c>
      <c r="N65" s="4">
        <f t="shared" si="3"/>
        <v>3.1416300000000001</v>
      </c>
      <c r="O65" s="4">
        <f t="shared" si="4"/>
        <v>2.4916300000000002</v>
      </c>
    </row>
    <row r="66" spans="1:15" ht="22.5" customHeight="1" x14ac:dyDescent="0.25">
      <c r="A66" s="2" t="s">
        <v>19</v>
      </c>
      <c r="B66" s="2" t="s">
        <v>16</v>
      </c>
      <c r="C66" s="3">
        <v>45778</v>
      </c>
      <c r="D66" s="3">
        <v>45662</v>
      </c>
      <c r="E66" s="2">
        <v>6385</v>
      </c>
      <c r="F66" s="2">
        <v>544</v>
      </c>
      <c r="G66" s="2">
        <v>2.87</v>
      </c>
      <c r="H66" s="6" t="s">
        <v>17</v>
      </c>
      <c r="I66" s="2">
        <v>383</v>
      </c>
      <c r="J66" s="2">
        <v>2.44</v>
      </c>
      <c r="K66" s="4">
        <f t="shared" si="0"/>
        <v>1.2566400000000002</v>
      </c>
      <c r="L66" s="4">
        <f t="shared" si="1"/>
        <v>2.8732500000000001</v>
      </c>
      <c r="M66" s="5">
        <f t="shared" si="2"/>
        <v>3.29763E-2</v>
      </c>
      <c r="N66" s="4">
        <f t="shared" si="3"/>
        <v>4.1628663000000001</v>
      </c>
      <c r="O66" s="4">
        <f t="shared" si="4"/>
        <v>1.7228663000000002</v>
      </c>
    </row>
    <row r="67" spans="1:15" ht="22.5" customHeight="1" x14ac:dyDescent="0.25">
      <c r="A67" s="2" t="s">
        <v>19</v>
      </c>
      <c r="B67" s="2" t="s">
        <v>16</v>
      </c>
      <c r="C67" s="3">
        <v>45809</v>
      </c>
      <c r="D67" s="3">
        <v>45663</v>
      </c>
      <c r="E67" s="2">
        <v>3216</v>
      </c>
      <c r="F67" s="2">
        <v>333</v>
      </c>
      <c r="G67" s="2">
        <v>9.9700000000000006</v>
      </c>
      <c r="H67" s="6" t="s">
        <v>21</v>
      </c>
      <c r="I67" s="2">
        <v>758</v>
      </c>
      <c r="J67" s="2">
        <v>4.8899999999999997</v>
      </c>
      <c r="K67" s="4">
        <f t="shared" si="0"/>
        <v>0.76922999999999997</v>
      </c>
      <c r="L67" s="4">
        <f t="shared" si="1"/>
        <v>1.4472</v>
      </c>
      <c r="M67" s="5">
        <f t="shared" si="2"/>
        <v>1.1335890000000002</v>
      </c>
      <c r="N67" s="4">
        <f t="shared" si="3"/>
        <v>3.3500190000000001</v>
      </c>
      <c r="O67" s="4">
        <f t="shared" si="4"/>
        <v>-1.5399809999999996</v>
      </c>
    </row>
    <row r="68" spans="1:15" ht="22.5" customHeight="1" x14ac:dyDescent="0.25">
      <c r="A68" s="2" t="s">
        <v>19</v>
      </c>
      <c r="B68" s="2" t="s">
        <v>16</v>
      </c>
      <c r="C68" s="3">
        <v>45839</v>
      </c>
      <c r="D68" s="3">
        <v>45664</v>
      </c>
      <c r="E68" s="2">
        <v>4679</v>
      </c>
      <c r="F68" s="2">
        <v>964</v>
      </c>
      <c r="G68" s="2">
        <v>1.61</v>
      </c>
      <c r="H68" s="6" t="s">
        <v>17</v>
      </c>
      <c r="I68" s="2">
        <v>385</v>
      </c>
      <c r="J68" s="2">
        <v>6.19</v>
      </c>
      <c r="K68" s="4">
        <f t="shared" si="0"/>
        <v>2.2268400000000002</v>
      </c>
      <c r="L68" s="4">
        <f t="shared" si="1"/>
        <v>2.10555</v>
      </c>
      <c r="M68" s="5">
        <f t="shared" si="2"/>
        <v>1.8595499999999997E-2</v>
      </c>
      <c r="N68" s="4">
        <f t="shared" si="3"/>
        <v>4.3509855000000002</v>
      </c>
      <c r="O68" s="4">
        <f t="shared" si="4"/>
        <v>-1.8390145000000002</v>
      </c>
    </row>
    <row r="69" spans="1:15" ht="22.5" customHeight="1" x14ac:dyDescent="0.25">
      <c r="A69" s="2" t="s">
        <v>19</v>
      </c>
      <c r="B69" s="2" t="s">
        <v>16</v>
      </c>
      <c r="C69" s="3">
        <v>45870</v>
      </c>
      <c r="D69" s="3">
        <v>45665</v>
      </c>
      <c r="E69" s="2">
        <v>8927</v>
      </c>
      <c r="F69" s="2">
        <v>642</v>
      </c>
      <c r="G69" s="2">
        <v>7.82</v>
      </c>
      <c r="H69" s="6" t="s">
        <v>20</v>
      </c>
      <c r="I69" s="2">
        <v>173</v>
      </c>
      <c r="J69" s="2">
        <v>1.44</v>
      </c>
      <c r="K69" s="4">
        <f t="shared" si="0"/>
        <v>1.48302</v>
      </c>
      <c r="L69" s="4">
        <f t="shared" si="1"/>
        <v>4.01715</v>
      </c>
      <c r="M69" s="5">
        <f t="shared" si="2"/>
        <v>2.70572E-2</v>
      </c>
      <c r="N69" s="4">
        <f t="shared" si="3"/>
        <v>5.5272271999999996</v>
      </c>
      <c r="O69" s="4">
        <f t="shared" si="4"/>
        <v>4.0872271999999992</v>
      </c>
    </row>
    <row r="70" spans="1:15" ht="22.5" customHeight="1" x14ac:dyDescent="0.25">
      <c r="A70" s="2" t="s">
        <v>19</v>
      </c>
      <c r="B70" s="2" t="s">
        <v>16</v>
      </c>
      <c r="C70" s="3">
        <v>45901</v>
      </c>
      <c r="D70" s="3">
        <v>45666</v>
      </c>
      <c r="E70" s="2">
        <v>5725</v>
      </c>
      <c r="F70" s="2">
        <v>1022</v>
      </c>
      <c r="G70" s="2">
        <v>7.92</v>
      </c>
      <c r="H70" s="6" t="s">
        <v>18</v>
      </c>
      <c r="I70" s="2">
        <v>446</v>
      </c>
      <c r="J70" s="2">
        <v>3.37</v>
      </c>
      <c r="K70" s="4">
        <f t="shared" si="0"/>
        <v>2.3608200000000004</v>
      </c>
      <c r="L70" s="4">
        <f t="shared" si="1"/>
        <v>2.5762499999999999</v>
      </c>
      <c r="M70" s="5">
        <f t="shared" si="2"/>
        <v>2.1193919999999999</v>
      </c>
      <c r="N70" s="4">
        <f t="shared" si="3"/>
        <v>7.0564619999999998</v>
      </c>
      <c r="O70" s="4">
        <f t="shared" si="4"/>
        <v>3.6864619999999997</v>
      </c>
    </row>
    <row r="71" spans="1:15" ht="22.5" customHeight="1" x14ac:dyDescent="0.25">
      <c r="A71" s="2" t="s">
        <v>19</v>
      </c>
      <c r="B71" s="2" t="s">
        <v>16</v>
      </c>
      <c r="C71" s="3">
        <v>45931</v>
      </c>
      <c r="D71" s="3">
        <v>45667</v>
      </c>
      <c r="E71" s="2">
        <v>6835</v>
      </c>
      <c r="F71" s="2">
        <v>331</v>
      </c>
      <c r="G71" s="2">
        <v>2.75</v>
      </c>
      <c r="H71" s="6" t="s">
        <v>17</v>
      </c>
      <c r="I71" s="2">
        <v>900</v>
      </c>
      <c r="J71" s="2">
        <v>8.74</v>
      </c>
      <c r="K71" s="4">
        <f t="shared" si="0"/>
        <v>0.76461000000000001</v>
      </c>
      <c r="L71" s="4">
        <f t="shared" si="1"/>
        <v>3.0757500000000002</v>
      </c>
      <c r="M71" s="5">
        <f t="shared" si="2"/>
        <v>7.4249999999999997E-2</v>
      </c>
      <c r="N71" s="4">
        <f t="shared" si="3"/>
        <v>3.9146100000000006</v>
      </c>
      <c r="O71" s="4">
        <f t="shared" si="4"/>
        <v>-4.8253899999999996</v>
      </c>
    </row>
    <row r="72" spans="1:15" ht="22.5" customHeight="1" x14ac:dyDescent="0.25">
      <c r="A72" s="2" t="s">
        <v>19</v>
      </c>
      <c r="B72" s="2" t="s">
        <v>16</v>
      </c>
      <c r="C72" s="3">
        <v>45962</v>
      </c>
      <c r="D72" s="3">
        <v>45668</v>
      </c>
      <c r="E72" s="2">
        <v>5617</v>
      </c>
      <c r="F72" s="2">
        <v>652</v>
      </c>
      <c r="G72" s="2">
        <v>1.25</v>
      </c>
      <c r="H72" s="6" t="s">
        <v>18</v>
      </c>
      <c r="I72" s="2">
        <v>705</v>
      </c>
      <c r="J72" s="2">
        <v>5.95</v>
      </c>
      <c r="K72" s="4">
        <f t="shared" si="0"/>
        <v>1.5061200000000001</v>
      </c>
      <c r="L72" s="4">
        <f t="shared" si="1"/>
        <v>2.52765</v>
      </c>
      <c r="M72" s="5">
        <f t="shared" si="2"/>
        <v>0.52875000000000005</v>
      </c>
      <c r="N72" s="4">
        <f t="shared" si="3"/>
        <v>4.562520000000001</v>
      </c>
      <c r="O72" s="4">
        <f t="shared" si="4"/>
        <v>-1.3874799999999992</v>
      </c>
    </row>
    <row r="73" spans="1:15" ht="22.5" customHeight="1" x14ac:dyDescent="0.25">
      <c r="A73" s="2" t="s">
        <v>19</v>
      </c>
      <c r="B73" s="2" t="s">
        <v>16</v>
      </c>
      <c r="C73" s="3">
        <v>45992</v>
      </c>
      <c r="D73" s="3">
        <v>45669</v>
      </c>
      <c r="E73" s="2">
        <v>5818</v>
      </c>
      <c r="F73" s="2">
        <v>953</v>
      </c>
      <c r="G73" s="2">
        <v>9.69</v>
      </c>
      <c r="H73" s="6" t="s">
        <v>21</v>
      </c>
      <c r="I73" s="2">
        <v>939</v>
      </c>
      <c r="J73" s="2">
        <v>6.92</v>
      </c>
      <c r="K73" s="4">
        <f t="shared" si="0"/>
        <v>2.2014299999999998</v>
      </c>
      <c r="L73" s="4">
        <f t="shared" si="1"/>
        <v>2.6181000000000001</v>
      </c>
      <c r="M73" s="5">
        <f t="shared" si="2"/>
        <v>1.3648364999999998</v>
      </c>
      <c r="N73" s="4">
        <f t="shared" si="3"/>
        <v>6.1843665000000003</v>
      </c>
      <c r="O73" s="4">
        <f t="shared" si="4"/>
        <v>-0.73563349999999961</v>
      </c>
    </row>
    <row r="74" spans="1:15" ht="22.5" customHeight="1" x14ac:dyDescent="0.25">
      <c r="A74" s="2" t="s">
        <v>19</v>
      </c>
      <c r="B74" s="2" t="s">
        <v>22</v>
      </c>
      <c r="C74" s="3">
        <v>43831</v>
      </c>
      <c r="D74" s="3">
        <v>43831</v>
      </c>
      <c r="E74" s="2">
        <v>6212</v>
      </c>
      <c r="F74" s="2">
        <v>254</v>
      </c>
      <c r="G74" s="2">
        <v>1.17</v>
      </c>
      <c r="H74" s="6" t="s">
        <v>20</v>
      </c>
      <c r="I74" s="2">
        <v>695</v>
      </c>
      <c r="J74" s="2">
        <v>8.94</v>
      </c>
      <c r="K74" s="4">
        <f t="shared" si="0"/>
        <v>0.58674000000000004</v>
      </c>
      <c r="L74" s="4">
        <f t="shared" si="1"/>
        <v>2.7953999999999999</v>
      </c>
      <c r="M74" s="5">
        <f t="shared" si="2"/>
        <v>1.6263E-2</v>
      </c>
      <c r="N74" s="4">
        <f t="shared" si="3"/>
        <v>3.3984029999999996</v>
      </c>
      <c r="O74" s="4">
        <f t="shared" si="4"/>
        <v>-5.5415969999999994</v>
      </c>
    </row>
    <row r="75" spans="1:15" ht="22.5" customHeight="1" x14ac:dyDescent="0.25">
      <c r="A75" s="2" t="s">
        <v>19</v>
      </c>
      <c r="B75" s="2" t="s">
        <v>22</v>
      </c>
      <c r="C75" s="3">
        <v>43862</v>
      </c>
      <c r="D75" s="3">
        <v>43832</v>
      </c>
      <c r="E75" s="2">
        <v>3988</v>
      </c>
      <c r="F75" s="2">
        <v>871</v>
      </c>
      <c r="G75" s="2">
        <v>8.42</v>
      </c>
      <c r="H75" s="6" t="s">
        <v>18</v>
      </c>
      <c r="I75" s="2">
        <v>812</v>
      </c>
      <c r="J75" s="2">
        <v>6.31</v>
      </c>
      <c r="K75" s="4">
        <f t="shared" si="0"/>
        <v>2.0120100000000001</v>
      </c>
      <c r="L75" s="4">
        <f t="shared" si="1"/>
        <v>1.7946000000000002</v>
      </c>
      <c r="M75" s="5">
        <f t="shared" si="2"/>
        <v>4.1022240000000005</v>
      </c>
      <c r="N75" s="4">
        <f t="shared" si="3"/>
        <v>7.9088340000000006</v>
      </c>
      <c r="O75" s="4">
        <f t="shared" si="4"/>
        <v>1.598834000000001</v>
      </c>
    </row>
    <row r="76" spans="1:15" ht="22.5" customHeight="1" x14ac:dyDescent="0.25">
      <c r="A76" s="2" t="s">
        <v>19</v>
      </c>
      <c r="B76" s="2" t="s">
        <v>22</v>
      </c>
      <c r="C76" s="3">
        <v>43891</v>
      </c>
      <c r="D76" s="3">
        <v>43833</v>
      </c>
      <c r="E76" s="2">
        <v>6342</v>
      </c>
      <c r="F76" s="2">
        <v>344</v>
      </c>
      <c r="G76" s="2">
        <v>6.8</v>
      </c>
      <c r="H76" s="6" t="s">
        <v>20</v>
      </c>
      <c r="I76" s="2">
        <v>774</v>
      </c>
      <c r="J76" s="2">
        <v>2</v>
      </c>
      <c r="K76" s="4">
        <f t="shared" si="0"/>
        <v>0.79464000000000001</v>
      </c>
      <c r="L76" s="4">
        <f t="shared" si="1"/>
        <v>2.8538999999999999</v>
      </c>
      <c r="M76" s="5">
        <f t="shared" si="2"/>
        <v>0.105264</v>
      </c>
      <c r="N76" s="4">
        <f t="shared" si="3"/>
        <v>3.7538039999999997</v>
      </c>
      <c r="O76" s="4">
        <f t="shared" si="4"/>
        <v>1.7538039999999997</v>
      </c>
    </row>
    <row r="77" spans="1:15" ht="22.5" customHeight="1" x14ac:dyDescent="0.25">
      <c r="A77" s="2" t="s">
        <v>19</v>
      </c>
      <c r="B77" s="2" t="s">
        <v>22</v>
      </c>
      <c r="C77" s="3">
        <v>43922</v>
      </c>
      <c r="D77" s="3">
        <v>43834</v>
      </c>
      <c r="E77" s="2">
        <v>7573</v>
      </c>
      <c r="F77" s="2">
        <v>986</v>
      </c>
      <c r="G77" s="2">
        <v>1.64</v>
      </c>
      <c r="H77" s="6" t="s">
        <v>18</v>
      </c>
      <c r="I77" s="2">
        <v>226</v>
      </c>
      <c r="J77" s="2">
        <v>1.48</v>
      </c>
      <c r="K77" s="4">
        <f t="shared" si="0"/>
        <v>2.27766</v>
      </c>
      <c r="L77" s="4">
        <f t="shared" si="1"/>
        <v>3.4078499999999998</v>
      </c>
      <c r="M77" s="5">
        <f t="shared" si="2"/>
        <v>0.222384</v>
      </c>
      <c r="N77" s="4">
        <f t="shared" si="3"/>
        <v>5.9078939999999998</v>
      </c>
      <c r="O77" s="4">
        <f t="shared" si="4"/>
        <v>4.4278940000000002</v>
      </c>
    </row>
    <row r="78" spans="1:15" ht="22.5" customHeight="1" x14ac:dyDescent="0.25">
      <c r="A78" s="2" t="s">
        <v>19</v>
      </c>
      <c r="B78" s="2" t="s">
        <v>22</v>
      </c>
      <c r="C78" s="3">
        <v>43952</v>
      </c>
      <c r="D78" s="3">
        <v>43835</v>
      </c>
      <c r="E78" s="2">
        <v>7117</v>
      </c>
      <c r="F78" s="2">
        <v>955</v>
      </c>
      <c r="G78" s="2">
        <v>1.23</v>
      </c>
      <c r="H78" s="6" t="s">
        <v>20</v>
      </c>
      <c r="I78" s="2">
        <v>510</v>
      </c>
      <c r="J78" s="2">
        <v>4.84</v>
      </c>
      <c r="K78" s="4">
        <f t="shared" si="0"/>
        <v>2.2060500000000003</v>
      </c>
      <c r="L78" s="4">
        <f t="shared" si="1"/>
        <v>3.2026500000000002</v>
      </c>
      <c r="M78" s="5">
        <f t="shared" si="2"/>
        <v>1.2546000000000002E-2</v>
      </c>
      <c r="N78" s="4">
        <f t="shared" si="3"/>
        <v>5.4212460000000009</v>
      </c>
      <c r="O78" s="4">
        <f t="shared" si="4"/>
        <v>0.58124600000000104</v>
      </c>
    </row>
    <row r="79" spans="1:15" ht="22.5" customHeight="1" x14ac:dyDescent="0.25">
      <c r="A79" s="2" t="s">
        <v>19</v>
      </c>
      <c r="B79" s="2" t="s">
        <v>22</v>
      </c>
      <c r="C79" s="3">
        <v>43983</v>
      </c>
      <c r="D79" s="3">
        <v>43836</v>
      </c>
      <c r="E79" s="2">
        <v>5415</v>
      </c>
      <c r="F79" s="2">
        <v>478</v>
      </c>
      <c r="G79" s="2">
        <v>6.57</v>
      </c>
      <c r="H79" s="6" t="s">
        <v>20</v>
      </c>
      <c r="I79" s="2">
        <v>73</v>
      </c>
      <c r="J79" s="2">
        <v>6.55</v>
      </c>
      <c r="K79" s="4">
        <f t="shared" si="0"/>
        <v>1.1041800000000002</v>
      </c>
      <c r="L79" s="4">
        <f t="shared" si="1"/>
        <v>2.43675</v>
      </c>
      <c r="M79" s="5">
        <f t="shared" si="2"/>
        <v>9.5922000000000004E-3</v>
      </c>
      <c r="N79" s="4">
        <f t="shared" si="3"/>
        <v>3.5505222000000005</v>
      </c>
      <c r="O79" s="4">
        <f t="shared" si="4"/>
        <v>-2.9994777999999993</v>
      </c>
    </row>
    <row r="80" spans="1:15" ht="22.5" customHeight="1" x14ac:dyDescent="0.25">
      <c r="A80" s="2" t="s">
        <v>19</v>
      </c>
      <c r="B80" s="2" t="s">
        <v>22</v>
      </c>
      <c r="C80" s="3">
        <v>44013</v>
      </c>
      <c r="D80" s="3">
        <v>43837</v>
      </c>
      <c r="E80" s="2">
        <v>8602</v>
      </c>
      <c r="F80" s="2">
        <v>213</v>
      </c>
      <c r="G80" s="2">
        <v>4.2699999999999996</v>
      </c>
      <c r="H80" s="6" t="s">
        <v>20</v>
      </c>
      <c r="I80" s="2">
        <v>488</v>
      </c>
      <c r="J80" s="2">
        <v>5.72</v>
      </c>
      <c r="K80" s="4">
        <f t="shared" si="0"/>
        <v>0.49203000000000002</v>
      </c>
      <c r="L80" s="4">
        <f t="shared" si="1"/>
        <v>3.8709000000000002</v>
      </c>
      <c r="M80" s="5">
        <f t="shared" si="2"/>
        <v>4.1675199999999996E-2</v>
      </c>
      <c r="N80" s="4">
        <f t="shared" si="3"/>
        <v>4.4046052000000007</v>
      </c>
      <c r="O80" s="4">
        <f t="shared" si="4"/>
        <v>-1.3153947999999991</v>
      </c>
    </row>
    <row r="81" spans="1:15" ht="22.5" customHeight="1" x14ac:dyDescent="0.25">
      <c r="A81" s="2" t="s">
        <v>19</v>
      </c>
      <c r="B81" s="2" t="s">
        <v>22</v>
      </c>
      <c r="C81" s="3">
        <v>44044</v>
      </c>
      <c r="D81" s="3">
        <v>43838</v>
      </c>
      <c r="E81" s="2">
        <v>8485</v>
      </c>
      <c r="F81" s="2">
        <v>989</v>
      </c>
      <c r="G81" s="2">
        <v>8.56</v>
      </c>
      <c r="H81" s="6" t="s">
        <v>17</v>
      </c>
      <c r="I81" s="2">
        <v>50</v>
      </c>
      <c r="J81" s="2">
        <v>6.27</v>
      </c>
      <c r="K81" s="4">
        <f t="shared" si="0"/>
        <v>2.2845900000000001</v>
      </c>
      <c r="L81" s="4">
        <f t="shared" si="1"/>
        <v>3.8182499999999999</v>
      </c>
      <c r="M81" s="5">
        <f t="shared" si="2"/>
        <v>1.2840000000000001E-2</v>
      </c>
      <c r="N81" s="4">
        <f t="shared" si="3"/>
        <v>6.1156800000000002</v>
      </c>
      <c r="O81" s="4">
        <f t="shared" si="4"/>
        <v>-0.15431999999999935</v>
      </c>
    </row>
    <row r="82" spans="1:15" ht="22.5" customHeight="1" x14ac:dyDescent="0.25">
      <c r="A82" s="2" t="s">
        <v>19</v>
      </c>
      <c r="B82" s="2" t="s">
        <v>22</v>
      </c>
      <c r="C82" s="3">
        <v>44075</v>
      </c>
      <c r="D82" s="3">
        <v>43839</v>
      </c>
      <c r="E82" s="2">
        <v>9663</v>
      </c>
      <c r="F82" s="2">
        <v>612</v>
      </c>
      <c r="G82" s="2">
        <v>6.27</v>
      </c>
      <c r="H82" s="6" t="s">
        <v>18</v>
      </c>
      <c r="I82" s="2">
        <v>518</v>
      </c>
      <c r="J82" s="2">
        <v>8.68</v>
      </c>
      <c r="K82" s="4">
        <f t="shared" si="0"/>
        <v>1.4137200000000001</v>
      </c>
      <c r="L82" s="4">
        <f t="shared" si="1"/>
        <v>4.3483499999999999</v>
      </c>
      <c r="M82" s="5">
        <f t="shared" si="2"/>
        <v>1.9487159999999999</v>
      </c>
      <c r="N82" s="4">
        <f t="shared" si="3"/>
        <v>7.7107859999999997</v>
      </c>
      <c r="O82" s="4">
        <f t="shared" si="4"/>
        <v>-0.96921400000000002</v>
      </c>
    </row>
    <row r="83" spans="1:15" ht="22.5" customHeight="1" x14ac:dyDescent="0.25">
      <c r="A83" s="2" t="s">
        <v>19</v>
      </c>
      <c r="B83" s="2" t="s">
        <v>22</v>
      </c>
      <c r="C83" s="3">
        <v>44105</v>
      </c>
      <c r="D83" s="3">
        <v>43840</v>
      </c>
      <c r="E83" s="2">
        <v>7381</v>
      </c>
      <c r="F83" s="2">
        <v>311</v>
      </c>
      <c r="G83" s="2">
        <v>7.75</v>
      </c>
      <c r="H83" s="6" t="s">
        <v>18</v>
      </c>
      <c r="I83" s="2">
        <v>442</v>
      </c>
      <c r="J83" s="2">
        <v>7.18</v>
      </c>
      <c r="K83" s="4">
        <f t="shared" si="0"/>
        <v>0.71840999999999999</v>
      </c>
      <c r="L83" s="4">
        <f t="shared" si="1"/>
        <v>3.3214500000000005</v>
      </c>
      <c r="M83" s="5">
        <f t="shared" si="2"/>
        <v>2.0552999999999999</v>
      </c>
      <c r="N83" s="4">
        <f t="shared" si="3"/>
        <v>6.0951600000000008</v>
      </c>
      <c r="O83" s="4">
        <f t="shared" si="4"/>
        <v>-1.0848399999999989</v>
      </c>
    </row>
    <row r="84" spans="1:15" ht="22.5" customHeight="1" x14ac:dyDescent="0.25">
      <c r="A84" s="2" t="s">
        <v>19</v>
      </c>
      <c r="B84" s="2" t="s">
        <v>22</v>
      </c>
      <c r="C84" s="3">
        <v>44136</v>
      </c>
      <c r="D84" s="3">
        <v>43841</v>
      </c>
      <c r="E84" s="2">
        <v>6387</v>
      </c>
      <c r="F84" s="2">
        <v>274</v>
      </c>
      <c r="G84" s="2">
        <v>8.94</v>
      </c>
      <c r="H84" s="6" t="s">
        <v>21</v>
      </c>
      <c r="I84" s="2">
        <v>819</v>
      </c>
      <c r="J84" s="2">
        <v>4.4000000000000004</v>
      </c>
      <c r="K84" s="4">
        <f t="shared" si="0"/>
        <v>0.63294000000000006</v>
      </c>
      <c r="L84" s="4">
        <f t="shared" si="1"/>
        <v>2.8741500000000002</v>
      </c>
      <c r="M84" s="5">
        <f t="shared" si="2"/>
        <v>1.098279</v>
      </c>
      <c r="N84" s="4">
        <f t="shared" si="3"/>
        <v>4.6053690000000005</v>
      </c>
      <c r="O84" s="4">
        <f t="shared" si="4"/>
        <v>0.20536900000000013</v>
      </c>
    </row>
    <row r="85" spans="1:15" ht="22.5" customHeight="1" x14ac:dyDescent="0.25">
      <c r="A85" s="2" t="s">
        <v>19</v>
      </c>
      <c r="B85" s="2" t="s">
        <v>22</v>
      </c>
      <c r="C85" s="3">
        <v>44166</v>
      </c>
      <c r="D85" s="3">
        <v>43842</v>
      </c>
      <c r="E85" s="2">
        <v>9890</v>
      </c>
      <c r="F85" s="2">
        <v>201</v>
      </c>
      <c r="G85" s="2">
        <v>5.76</v>
      </c>
      <c r="H85" s="6" t="s">
        <v>17</v>
      </c>
      <c r="I85" s="2">
        <v>454</v>
      </c>
      <c r="J85" s="2">
        <v>2.4500000000000002</v>
      </c>
      <c r="K85" s="4">
        <f t="shared" si="0"/>
        <v>0.46431</v>
      </c>
      <c r="L85" s="4">
        <f t="shared" si="1"/>
        <v>4.4504999999999999</v>
      </c>
      <c r="M85" s="5">
        <f t="shared" si="2"/>
        <v>7.8451199999999985E-2</v>
      </c>
      <c r="N85" s="4">
        <f t="shared" si="3"/>
        <v>4.9932612000000001</v>
      </c>
      <c r="O85" s="4">
        <f t="shared" si="4"/>
        <v>2.5432611999999999</v>
      </c>
    </row>
    <row r="86" spans="1:15" ht="22.5" customHeight="1" x14ac:dyDescent="0.25">
      <c r="A86" s="2" t="s">
        <v>19</v>
      </c>
      <c r="B86" s="2" t="s">
        <v>22</v>
      </c>
      <c r="C86" s="3">
        <v>44197</v>
      </c>
      <c r="D86" s="3">
        <v>44197</v>
      </c>
      <c r="E86" s="2">
        <v>8409</v>
      </c>
      <c r="F86" s="2">
        <v>207</v>
      </c>
      <c r="G86" s="2">
        <v>4.5199999999999996</v>
      </c>
      <c r="H86" s="6" t="s">
        <v>21</v>
      </c>
      <c r="I86" s="2">
        <v>76</v>
      </c>
      <c r="J86" s="2">
        <v>6.13</v>
      </c>
      <c r="K86" s="4">
        <f t="shared" si="0"/>
        <v>0.47817000000000004</v>
      </c>
      <c r="L86" s="4">
        <f t="shared" si="1"/>
        <v>3.7840500000000001</v>
      </c>
      <c r="M86" s="5">
        <f t="shared" si="2"/>
        <v>5.1527999999999997E-2</v>
      </c>
      <c r="N86" s="4">
        <f t="shared" si="3"/>
        <v>4.3137480000000004</v>
      </c>
      <c r="O86" s="4">
        <f t="shared" si="4"/>
        <v>-1.8162519999999995</v>
      </c>
    </row>
    <row r="87" spans="1:15" ht="22.5" customHeight="1" x14ac:dyDescent="0.25">
      <c r="A87" s="2" t="s">
        <v>19</v>
      </c>
      <c r="B87" s="2" t="s">
        <v>22</v>
      </c>
      <c r="C87" s="3">
        <v>44228</v>
      </c>
      <c r="D87" s="3">
        <v>44198</v>
      </c>
      <c r="E87" s="2">
        <v>5854</v>
      </c>
      <c r="F87" s="2">
        <v>905</v>
      </c>
      <c r="G87" s="2">
        <v>7.42</v>
      </c>
      <c r="H87" s="6" t="s">
        <v>18</v>
      </c>
      <c r="I87" s="2">
        <v>509</v>
      </c>
      <c r="J87" s="2">
        <v>6.82</v>
      </c>
      <c r="K87" s="4">
        <f t="shared" si="0"/>
        <v>2.0905500000000004</v>
      </c>
      <c r="L87" s="4">
        <f t="shared" si="1"/>
        <v>2.6343000000000001</v>
      </c>
      <c r="M87" s="5">
        <f t="shared" si="2"/>
        <v>2.2660679999999997</v>
      </c>
      <c r="N87" s="4">
        <f t="shared" si="3"/>
        <v>6.9909179999999997</v>
      </c>
      <c r="O87" s="4">
        <f t="shared" si="4"/>
        <v>0.17091799999999946</v>
      </c>
    </row>
    <row r="88" spans="1:15" ht="22.5" customHeight="1" x14ac:dyDescent="0.25">
      <c r="A88" s="2" t="s">
        <v>19</v>
      </c>
      <c r="B88" s="2" t="s">
        <v>22</v>
      </c>
      <c r="C88" s="3">
        <v>44256</v>
      </c>
      <c r="D88" s="3">
        <v>44199</v>
      </c>
      <c r="E88" s="2">
        <v>6455</v>
      </c>
      <c r="F88" s="2">
        <v>816</v>
      </c>
      <c r="G88" s="2">
        <v>7.5</v>
      </c>
      <c r="H88" s="6" t="s">
        <v>20</v>
      </c>
      <c r="I88" s="2">
        <v>396</v>
      </c>
      <c r="J88" s="2">
        <v>4.88</v>
      </c>
      <c r="K88" s="4">
        <f t="shared" si="0"/>
        <v>1.88496</v>
      </c>
      <c r="L88" s="4">
        <f t="shared" si="1"/>
        <v>2.9047499999999999</v>
      </c>
      <c r="M88" s="5">
        <f t="shared" si="2"/>
        <v>5.9400000000000001E-2</v>
      </c>
      <c r="N88" s="4">
        <f t="shared" si="3"/>
        <v>4.8491099999999996</v>
      </c>
      <c r="O88" s="4">
        <f t="shared" si="4"/>
        <v>-3.0890000000000306E-2</v>
      </c>
    </row>
    <row r="89" spans="1:15" ht="22.5" customHeight="1" x14ac:dyDescent="0.25">
      <c r="A89" s="2" t="s">
        <v>19</v>
      </c>
      <c r="B89" s="2" t="s">
        <v>22</v>
      </c>
      <c r="C89" s="3">
        <v>44287</v>
      </c>
      <c r="D89" s="3">
        <v>44200</v>
      </c>
      <c r="E89" s="2">
        <v>3655</v>
      </c>
      <c r="F89" s="2">
        <v>1025</v>
      </c>
      <c r="G89" s="2">
        <v>2.98</v>
      </c>
      <c r="H89" s="6" t="s">
        <v>17</v>
      </c>
      <c r="I89" s="2">
        <v>63</v>
      </c>
      <c r="J89" s="2">
        <v>2.46</v>
      </c>
      <c r="K89" s="4">
        <f t="shared" si="0"/>
        <v>2.36775</v>
      </c>
      <c r="L89" s="4">
        <f t="shared" si="1"/>
        <v>1.6447499999999999</v>
      </c>
      <c r="M89" s="5">
        <f t="shared" si="2"/>
        <v>5.6322000000000004E-3</v>
      </c>
      <c r="N89" s="4">
        <f t="shared" si="3"/>
        <v>4.0181322000000002</v>
      </c>
      <c r="O89" s="4">
        <f t="shared" si="4"/>
        <v>1.5581322000000002</v>
      </c>
    </row>
    <row r="90" spans="1:15" ht="22.5" customHeight="1" x14ac:dyDescent="0.25">
      <c r="A90" s="2" t="s">
        <v>19</v>
      </c>
      <c r="B90" s="2" t="s">
        <v>22</v>
      </c>
      <c r="C90" s="3">
        <v>44317</v>
      </c>
      <c r="D90" s="3">
        <v>44201</v>
      </c>
      <c r="E90" s="2">
        <v>3707</v>
      </c>
      <c r="F90" s="2">
        <v>216</v>
      </c>
      <c r="G90" s="2">
        <v>8.09</v>
      </c>
      <c r="H90" s="6" t="s">
        <v>21</v>
      </c>
      <c r="I90" s="2">
        <v>149</v>
      </c>
      <c r="J90" s="2">
        <v>7.35</v>
      </c>
      <c r="K90" s="4">
        <f t="shared" si="0"/>
        <v>0.49896000000000001</v>
      </c>
      <c r="L90" s="4">
        <f t="shared" si="1"/>
        <v>1.66815</v>
      </c>
      <c r="M90" s="5">
        <f t="shared" si="2"/>
        <v>0.18081149999999996</v>
      </c>
      <c r="N90" s="4">
        <f t="shared" si="3"/>
        <v>2.3479215</v>
      </c>
      <c r="O90" s="4">
        <f t="shared" si="4"/>
        <v>-5.0020784999999997</v>
      </c>
    </row>
    <row r="91" spans="1:15" ht="22.5" customHeight="1" x14ac:dyDescent="0.25">
      <c r="A91" s="2" t="s">
        <v>19</v>
      </c>
      <c r="B91" s="2" t="s">
        <v>22</v>
      </c>
      <c r="C91" s="3">
        <v>44348</v>
      </c>
      <c r="D91" s="3">
        <v>44202</v>
      </c>
      <c r="E91" s="2">
        <v>6861</v>
      </c>
      <c r="F91" s="2">
        <v>911</v>
      </c>
      <c r="G91" s="2">
        <v>7.98</v>
      </c>
      <c r="H91" s="6" t="s">
        <v>18</v>
      </c>
      <c r="I91" s="2">
        <v>817</v>
      </c>
      <c r="J91" s="2">
        <v>3.44</v>
      </c>
      <c r="K91" s="4">
        <f t="shared" si="0"/>
        <v>2.1044099999999997</v>
      </c>
      <c r="L91" s="4">
        <f t="shared" si="1"/>
        <v>3.0874500000000005</v>
      </c>
      <c r="M91" s="5">
        <f t="shared" si="2"/>
        <v>3.9117960000000003</v>
      </c>
      <c r="N91" s="4">
        <f t="shared" si="3"/>
        <v>9.1036560000000009</v>
      </c>
      <c r="O91" s="4">
        <f t="shared" si="4"/>
        <v>5.6636560000000014</v>
      </c>
    </row>
    <row r="92" spans="1:15" ht="22.5" customHeight="1" x14ac:dyDescent="0.25">
      <c r="A92" s="2" t="s">
        <v>19</v>
      </c>
      <c r="B92" s="2" t="s">
        <v>22</v>
      </c>
      <c r="C92" s="3">
        <v>44378</v>
      </c>
      <c r="D92" s="3">
        <v>44203</v>
      </c>
      <c r="E92" s="2">
        <v>3890</v>
      </c>
      <c r="F92" s="2">
        <v>330</v>
      </c>
      <c r="G92" s="2">
        <v>5.71</v>
      </c>
      <c r="H92" s="6" t="s">
        <v>20</v>
      </c>
      <c r="I92" s="2">
        <v>893</v>
      </c>
      <c r="J92" s="2">
        <v>3.83</v>
      </c>
      <c r="K92" s="4">
        <f t="shared" si="0"/>
        <v>0.76230000000000009</v>
      </c>
      <c r="L92" s="4">
        <f t="shared" si="1"/>
        <v>1.7504999999999999</v>
      </c>
      <c r="M92" s="5">
        <f t="shared" si="2"/>
        <v>0.10198059999999999</v>
      </c>
      <c r="N92" s="4">
        <f t="shared" si="3"/>
        <v>2.6147806</v>
      </c>
      <c r="O92" s="4">
        <f t="shared" si="4"/>
        <v>-1.2152194000000001</v>
      </c>
    </row>
    <row r="93" spans="1:15" ht="22.5" customHeight="1" x14ac:dyDescent="0.25">
      <c r="A93" s="2" t="s">
        <v>19</v>
      </c>
      <c r="B93" s="2" t="s">
        <v>22</v>
      </c>
      <c r="C93" s="3">
        <v>44409</v>
      </c>
      <c r="D93" s="3">
        <v>44204</v>
      </c>
      <c r="E93" s="2">
        <v>3686</v>
      </c>
      <c r="F93" s="2">
        <v>551</v>
      </c>
      <c r="G93" s="2">
        <v>9.2899999999999991</v>
      </c>
      <c r="H93" s="6" t="s">
        <v>20</v>
      </c>
      <c r="I93" s="2">
        <v>604</v>
      </c>
      <c r="J93" s="2">
        <v>5.01</v>
      </c>
      <c r="K93" s="4">
        <f t="shared" si="0"/>
        <v>1.27281</v>
      </c>
      <c r="L93" s="4">
        <f t="shared" si="1"/>
        <v>1.6587000000000001</v>
      </c>
      <c r="M93" s="5">
        <f t="shared" si="2"/>
        <v>0.1122232</v>
      </c>
      <c r="N93" s="4">
        <f t="shared" si="3"/>
        <v>3.0437332000000001</v>
      </c>
      <c r="O93" s="4">
        <f t="shared" si="4"/>
        <v>-1.9662667999999996</v>
      </c>
    </row>
    <row r="94" spans="1:15" ht="22.5" customHeight="1" x14ac:dyDescent="0.25">
      <c r="A94" s="2" t="s">
        <v>19</v>
      </c>
      <c r="B94" s="2" t="s">
        <v>22</v>
      </c>
      <c r="C94" s="3">
        <v>44440</v>
      </c>
      <c r="D94" s="3">
        <v>44205</v>
      </c>
      <c r="E94" s="2">
        <v>5574</v>
      </c>
      <c r="F94" s="2">
        <v>560</v>
      </c>
      <c r="G94" s="2">
        <v>2.42</v>
      </c>
      <c r="H94" s="6" t="s">
        <v>20</v>
      </c>
      <c r="I94" s="2">
        <v>543</v>
      </c>
      <c r="J94" s="2">
        <v>6.07</v>
      </c>
      <c r="K94" s="4">
        <f t="shared" si="0"/>
        <v>1.2936000000000001</v>
      </c>
      <c r="L94" s="4">
        <f t="shared" si="1"/>
        <v>2.5083000000000002</v>
      </c>
      <c r="M94" s="5">
        <f t="shared" si="2"/>
        <v>2.6281199999999998E-2</v>
      </c>
      <c r="N94" s="4">
        <f t="shared" si="3"/>
        <v>3.8281812000000004</v>
      </c>
      <c r="O94" s="4">
        <f t="shared" si="4"/>
        <v>-2.2418187999999999</v>
      </c>
    </row>
    <row r="95" spans="1:15" ht="22.5" customHeight="1" x14ac:dyDescent="0.25">
      <c r="A95" s="2" t="s">
        <v>19</v>
      </c>
      <c r="B95" s="2" t="s">
        <v>22</v>
      </c>
      <c r="C95" s="3">
        <v>44470</v>
      </c>
      <c r="D95" s="3">
        <v>44206</v>
      </c>
      <c r="E95" s="2">
        <v>5024</v>
      </c>
      <c r="F95" s="2">
        <v>1075</v>
      </c>
      <c r="G95" s="2">
        <v>2.4</v>
      </c>
      <c r="H95" s="6" t="s">
        <v>17</v>
      </c>
      <c r="I95" s="2">
        <v>291</v>
      </c>
      <c r="J95" s="2">
        <v>4.33</v>
      </c>
      <c r="K95" s="4">
        <f t="shared" si="0"/>
        <v>2.48325</v>
      </c>
      <c r="L95" s="4">
        <f t="shared" si="1"/>
        <v>2.2608000000000001</v>
      </c>
      <c r="M95" s="5">
        <f t="shared" si="2"/>
        <v>2.0952000000000002E-2</v>
      </c>
      <c r="N95" s="4">
        <f t="shared" si="3"/>
        <v>4.765002</v>
      </c>
      <c r="O95" s="4">
        <f t="shared" si="4"/>
        <v>0.43500199999999989</v>
      </c>
    </row>
    <row r="96" spans="1:15" ht="22.5" customHeight="1" x14ac:dyDescent="0.25">
      <c r="A96" s="2" t="s">
        <v>19</v>
      </c>
      <c r="B96" s="2" t="s">
        <v>22</v>
      </c>
      <c r="C96" s="3">
        <v>44501</v>
      </c>
      <c r="D96" s="3">
        <v>44207</v>
      </c>
      <c r="E96" s="2">
        <v>6895</v>
      </c>
      <c r="F96" s="2">
        <v>336</v>
      </c>
      <c r="G96" s="2">
        <v>7.34</v>
      </c>
      <c r="H96" s="6" t="s">
        <v>20</v>
      </c>
      <c r="I96" s="2">
        <v>969</v>
      </c>
      <c r="J96" s="2">
        <v>1.2</v>
      </c>
      <c r="K96" s="4">
        <f t="shared" si="0"/>
        <v>0.77615999999999996</v>
      </c>
      <c r="L96" s="4">
        <f t="shared" si="1"/>
        <v>3.1027499999999999</v>
      </c>
      <c r="M96" s="5">
        <f t="shared" si="2"/>
        <v>0.14224919999999999</v>
      </c>
      <c r="N96" s="4">
        <f t="shared" si="3"/>
        <v>4.0211591999999996</v>
      </c>
      <c r="O96" s="4">
        <f t="shared" si="4"/>
        <v>2.8211591999999994</v>
      </c>
    </row>
    <row r="97" spans="1:15" ht="22.5" customHeight="1" x14ac:dyDescent="0.25">
      <c r="A97" s="2" t="s">
        <v>19</v>
      </c>
      <c r="B97" s="2" t="s">
        <v>22</v>
      </c>
      <c r="C97" s="3">
        <v>44531</v>
      </c>
      <c r="D97" s="3">
        <v>44208</v>
      </c>
      <c r="E97" s="2">
        <v>3226</v>
      </c>
      <c r="F97" s="2">
        <v>531</v>
      </c>
      <c r="G97" s="2">
        <v>5.23</v>
      </c>
      <c r="H97" s="6" t="s">
        <v>20</v>
      </c>
      <c r="I97" s="2">
        <v>202</v>
      </c>
      <c r="J97" s="2">
        <v>1.2</v>
      </c>
      <c r="K97" s="4">
        <f t="shared" si="0"/>
        <v>1.2266100000000002</v>
      </c>
      <c r="L97" s="4">
        <f t="shared" si="1"/>
        <v>1.4517</v>
      </c>
      <c r="M97" s="5">
        <f t="shared" si="2"/>
        <v>2.1129200000000001E-2</v>
      </c>
      <c r="N97" s="4">
        <f t="shared" si="3"/>
        <v>2.6994392</v>
      </c>
      <c r="O97" s="4">
        <f t="shared" si="4"/>
        <v>1.4994392000000001</v>
      </c>
    </row>
    <row r="98" spans="1:15" ht="22.5" customHeight="1" x14ac:dyDescent="0.25">
      <c r="A98" s="2" t="s">
        <v>19</v>
      </c>
      <c r="B98" s="2" t="s">
        <v>22</v>
      </c>
      <c r="C98" s="3">
        <v>44562</v>
      </c>
      <c r="D98" s="3">
        <v>44562</v>
      </c>
      <c r="E98" s="2">
        <v>8705</v>
      </c>
      <c r="F98" s="2">
        <v>640</v>
      </c>
      <c r="G98" s="2">
        <v>5.54</v>
      </c>
      <c r="H98" s="6" t="s">
        <v>18</v>
      </c>
      <c r="I98" s="2">
        <v>968</v>
      </c>
      <c r="J98" s="2">
        <v>2.23</v>
      </c>
      <c r="K98" s="4">
        <f t="shared" si="0"/>
        <v>1.4784000000000002</v>
      </c>
      <c r="L98" s="4">
        <f t="shared" si="1"/>
        <v>3.9172500000000001</v>
      </c>
      <c r="M98" s="5">
        <f t="shared" si="2"/>
        <v>3.2176319999999996</v>
      </c>
      <c r="N98" s="4">
        <f t="shared" si="3"/>
        <v>8.6132819999999999</v>
      </c>
      <c r="O98" s="4">
        <f t="shared" si="4"/>
        <v>6.3832819999999995</v>
      </c>
    </row>
    <row r="99" spans="1:15" ht="22.5" customHeight="1" x14ac:dyDescent="0.25">
      <c r="A99" s="2" t="s">
        <v>19</v>
      </c>
      <c r="B99" s="2" t="s">
        <v>22</v>
      </c>
      <c r="C99" s="3">
        <v>44593</v>
      </c>
      <c r="D99" s="3">
        <v>44563</v>
      </c>
      <c r="E99" s="2">
        <v>5574</v>
      </c>
      <c r="F99" s="2">
        <v>719</v>
      </c>
      <c r="G99" s="2">
        <v>3.68</v>
      </c>
      <c r="H99" s="6" t="s">
        <v>18</v>
      </c>
      <c r="I99" s="2">
        <v>958</v>
      </c>
      <c r="J99" s="2">
        <v>7.72</v>
      </c>
      <c r="K99" s="4">
        <f t="shared" si="0"/>
        <v>1.6608900000000002</v>
      </c>
      <c r="L99" s="4">
        <f t="shared" si="1"/>
        <v>2.5083000000000002</v>
      </c>
      <c r="M99" s="5">
        <f t="shared" si="2"/>
        <v>2.1152640000000003</v>
      </c>
      <c r="N99" s="4">
        <f t="shared" si="3"/>
        <v>6.2844540000000002</v>
      </c>
      <c r="O99" s="4">
        <f t="shared" si="4"/>
        <v>-1.4355459999999995</v>
      </c>
    </row>
    <row r="100" spans="1:15" ht="22.5" customHeight="1" x14ac:dyDescent="0.25">
      <c r="A100" s="2" t="s">
        <v>19</v>
      </c>
      <c r="B100" s="2" t="s">
        <v>22</v>
      </c>
      <c r="C100" s="3">
        <v>44621</v>
      </c>
      <c r="D100" s="3">
        <v>44564</v>
      </c>
      <c r="E100" s="2">
        <v>8569</v>
      </c>
      <c r="F100" s="2">
        <v>731</v>
      </c>
      <c r="G100" s="2">
        <v>9.6999999999999993</v>
      </c>
      <c r="H100" s="6" t="s">
        <v>20</v>
      </c>
      <c r="I100" s="2">
        <v>209</v>
      </c>
      <c r="J100" s="2">
        <v>7.78</v>
      </c>
      <c r="K100" s="4">
        <f t="shared" si="0"/>
        <v>1.6886100000000002</v>
      </c>
      <c r="L100" s="4">
        <f t="shared" si="1"/>
        <v>3.8560500000000002</v>
      </c>
      <c r="M100" s="5">
        <f t="shared" si="2"/>
        <v>4.0545999999999992E-2</v>
      </c>
      <c r="N100" s="4">
        <f t="shared" si="3"/>
        <v>5.5852060000000003</v>
      </c>
      <c r="O100" s="4">
        <f t="shared" si="4"/>
        <v>-2.1947939999999999</v>
      </c>
    </row>
    <row r="101" spans="1:15" ht="22.5" customHeight="1" x14ac:dyDescent="0.25">
      <c r="A101" s="2" t="s">
        <v>19</v>
      </c>
      <c r="B101" s="2" t="s">
        <v>22</v>
      </c>
      <c r="C101" s="3">
        <v>44652</v>
      </c>
      <c r="D101" s="3">
        <v>44565</v>
      </c>
      <c r="E101" s="2">
        <v>3764</v>
      </c>
      <c r="F101" s="2">
        <v>336</v>
      </c>
      <c r="G101" s="2">
        <v>5.56</v>
      </c>
      <c r="H101" s="6" t="s">
        <v>18</v>
      </c>
      <c r="I101" s="2">
        <v>529</v>
      </c>
      <c r="J101" s="2">
        <v>9.84</v>
      </c>
      <c r="K101" s="4">
        <f t="shared" si="0"/>
        <v>0.77615999999999996</v>
      </c>
      <c r="L101" s="4">
        <f t="shared" si="1"/>
        <v>1.6938</v>
      </c>
      <c r="M101" s="5">
        <f t="shared" si="2"/>
        <v>1.7647439999999996</v>
      </c>
      <c r="N101" s="4">
        <f t="shared" si="3"/>
        <v>4.2347039999999998</v>
      </c>
      <c r="O101" s="4">
        <f t="shared" si="4"/>
        <v>-5.6052960000000001</v>
      </c>
    </row>
    <row r="102" spans="1:15" ht="22.5" customHeight="1" x14ac:dyDescent="0.25">
      <c r="A102" s="2" t="s">
        <v>19</v>
      </c>
      <c r="B102" s="2" t="s">
        <v>22</v>
      </c>
      <c r="C102" s="3">
        <v>44682</v>
      </c>
      <c r="D102" s="3">
        <v>44566</v>
      </c>
      <c r="E102" s="2">
        <v>5114</v>
      </c>
      <c r="F102" s="2">
        <v>525</v>
      </c>
      <c r="G102" s="2">
        <v>4.8899999999999997</v>
      </c>
      <c r="H102" s="6" t="s">
        <v>17</v>
      </c>
      <c r="I102" s="2">
        <v>137</v>
      </c>
      <c r="J102" s="2">
        <v>5.1100000000000003</v>
      </c>
      <c r="K102" s="4">
        <f t="shared" si="0"/>
        <v>1.21275</v>
      </c>
      <c r="L102" s="4">
        <f t="shared" si="1"/>
        <v>2.3013000000000003</v>
      </c>
      <c r="M102" s="5">
        <f t="shared" si="2"/>
        <v>2.0097899999999995E-2</v>
      </c>
      <c r="N102" s="4">
        <f t="shared" si="3"/>
        <v>3.5341479000000002</v>
      </c>
      <c r="O102" s="4">
        <f t="shared" si="4"/>
        <v>-1.5758521000000001</v>
      </c>
    </row>
    <row r="103" spans="1:15" ht="22.5" customHeight="1" x14ac:dyDescent="0.25">
      <c r="A103" s="2" t="s">
        <v>19</v>
      </c>
      <c r="B103" s="2" t="s">
        <v>22</v>
      </c>
      <c r="C103" s="3">
        <v>44713</v>
      </c>
      <c r="D103" s="3">
        <v>44567</v>
      </c>
      <c r="E103" s="2">
        <v>9995</v>
      </c>
      <c r="F103" s="2">
        <v>852</v>
      </c>
      <c r="G103" s="2">
        <v>5.71</v>
      </c>
      <c r="H103" s="6" t="s">
        <v>21</v>
      </c>
      <c r="I103" s="2">
        <v>214</v>
      </c>
      <c r="J103" s="2">
        <v>0.57999999999999996</v>
      </c>
      <c r="K103" s="4">
        <f t="shared" si="0"/>
        <v>1.9681200000000001</v>
      </c>
      <c r="L103" s="4">
        <f t="shared" si="1"/>
        <v>4.4977499999999999</v>
      </c>
      <c r="M103" s="5">
        <f t="shared" si="2"/>
        <v>0.18329100000000001</v>
      </c>
      <c r="N103" s="4">
        <f t="shared" si="3"/>
        <v>6.6491609999999994</v>
      </c>
      <c r="O103" s="4">
        <f t="shared" si="4"/>
        <v>6.0691609999999994</v>
      </c>
    </row>
    <row r="104" spans="1:15" ht="22.5" customHeight="1" x14ac:dyDescent="0.25">
      <c r="A104" s="2" t="s">
        <v>19</v>
      </c>
      <c r="B104" s="2" t="s">
        <v>22</v>
      </c>
      <c r="C104" s="3">
        <v>44743</v>
      </c>
      <c r="D104" s="3">
        <v>44568</v>
      </c>
      <c r="E104" s="2">
        <v>6610</v>
      </c>
      <c r="F104" s="2">
        <v>996</v>
      </c>
      <c r="G104" s="2">
        <v>8.07</v>
      </c>
      <c r="H104" s="6" t="s">
        <v>20</v>
      </c>
      <c r="I104" s="2">
        <v>217</v>
      </c>
      <c r="J104" s="2">
        <v>3.19</v>
      </c>
      <c r="K104" s="4">
        <f t="shared" si="0"/>
        <v>2.3007600000000004</v>
      </c>
      <c r="L104" s="4">
        <f t="shared" si="1"/>
        <v>2.9744999999999999</v>
      </c>
      <c r="M104" s="5">
        <f t="shared" si="2"/>
        <v>3.5023800000000001E-2</v>
      </c>
      <c r="N104" s="4">
        <f t="shared" si="3"/>
        <v>5.3102838000000006</v>
      </c>
      <c r="O104" s="4">
        <f t="shared" si="4"/>
        <v>2.1202838000000006</v>
      </c>
    </row>
    <row r="105" spans="1:15" ht="22.5" customHeight="1" x14ac:dyDescent="0.25">
      <c r="A105" s="2" t="s">
        <v>19</v>
      </c>
      <c r="B105" s="2" t="s">
        <v>22</v>
      </c>
      <c r="C105" s="3">
        <v>44774</v>
      </c>
      <c r="D105" s="3">
        <v>44569</v>
      </c>
      <c r="E105" s="2">
        <v>8685</v>
      </c>
      <c r="F105" s="2">
        <v>871</v>
      </c>
      <c r="G105" s="2">
        <v>4.96</v>
      </c>
      <c r="H105" s="6" t="s">
        <v>21</v>
      </c>
      <c r="I105" s="2">
        <v>157</v>
      </c>
      <c r="J105" s="2">
        <v>3.73</v>
      </c>
      <c r="K105" s="4">
        <f t="shared" si="0"/>
        <v>2.0120100000000001</v>
      </c>
      <c r="L105" s="4">
        <f t="shared" si="1"/>
        <v>3.9082499999999998</v>
      </c>
      <c r="M105" s="5">
        <f t="shared" si="2"/>
        <v>0.11680800000000001</v>
      </c>
      <c r="N105" s="4">
        <f t="shared" si="3"/>
        <v>6.0370679999999997</v>
      </c>
      <c r="O105" s="4">
        <f t="shared" si="4"/>
        <v>2.3070679999999997</v>
      </c>
    </row>
    <row r="106" spans="1:15" ht="22.5" customHeight="1" x14ac:dyDescent="0.25">
      <c r="A106" s="2" t="s">
        <v>19</v>
      </c>
      <c r="B106" s="2" t="s">
        <v>22</v>
      </c>
      <c r="C106" s="3">
        <v>44805</v>
      </c>
      <c r="D106" s="3">
        <v>44570</v>
      </c>
      <c r="E106" s="2">
        <v>7014</v>
      </c>
      <c r="F106" s="2">
        <v>783</v>
      </c>
      <c r="G106" s="2">
        <v>3.55</v>
      </c>
      <c r="H106" s="6" t="s">
        <v>18</v>
      </c>
      <c r="I106" s="2">
        <v>848</v>
      </c>
      <c r="J106" s="2">
        <v>4.6100000000000003</v>
      </c>
      <c r="K106" s="4">
        <f t="shared" si="0"/>
        <v>1.8087299999999999</v>
      </c>
      <c r="L106" s="4">
        <f t="shared" si="1"/>
        <v>3.1563000000000003</v>
      </c>
      <c r="M106" s="5">
        <f t="shared" si="2"/>
        <v>1.8062399999999998</v>
      </c>
      <c r="N106" s="4">
        <f t="shared" si="3"/>
        <v>6.7712700000000003</v>
      </c>
      <c r="O106" s="4">
        <f t="shared" si="4"/>
        <v>2.16127</v>
      </c>
    </row>
    <row r="107" spans="1:15" ht="22.5" customHeight="1" x14ac:dyDescent="0.25">
      <c r="A107" s="2" t="s">
        <v>19</v>
      </c>
      <c r="B107" s="2" t="s">
        <v>22</v>
      </c>
      <c r="C107" s="3">
        <v>44835</v>
      </c>
      <c r="D107" s="3">
        <v>44571</v>
      </c>
      <c r="E107" s="2">
        <v>4265</v>
      </c>
      <c r="F107" s="2">
        <v>1061</v>
      </c>
      <c r="G107" s="2">
        <v>5.26</v>
      </c>
      <c r="H107" s="6" t="s">
        <v>20</v>
      </c>
      <c r="I107" s="2">
        <v>418</v>
      </c>
      <c r="J107" s="2">
        <v>0.68</v>
      </c>
      <c r="K107" s="4">
        <f t="shared" si="0"/>
        <v>2.4509099999999999</v>
      </c>
      <c r="L107" s="4">
        <f t="shared" si="1"/>
        <v>1.9192499999999999</v>
      </c>
      <c r="M107" s="5">
        <f t="shared" si="2"/>
        <v>4.3973599999999995E-2</v>
      </c>
      <c r="N107" s="4">
        <f t="shared" si="3"/>
        <v>4.4141336000000004</v>
      </c>
      <c r="O107" s="4">
        <f t="shared" si="4"/>
        <v>3.7341336000000003</v>
      </c>
    </row>
    <row r="108" spans="1:15" ht="22.5" customHeight="1" x14ac:dyDescent="0.25">
      <c r="A108" s="2" t="s">
        <v>19</v>
      </c>
      <c r="B108" s="2" t="s">
        <v>22</v>
      </c>
      <c r="C108" s="3">
        <v>44866</v>
      </c>
      <c r="D108" s="3">
        <v>44572</v>
      </c>
      <c r="E108" s="2">
        <v>8824</v>
      </c>
      <c r="F108" s="2">
        <v>1108</v>
      </c>
      <c r="G108" s="2">
        <v>3.64</v>
      </c>
      <c r="H108" s="6" t="s">
        <v>20</v>
      </c>
      <c r="I108" s="2">
        <v>349</v>
      </c>
      <c r="J108" s="2">
        <v>5.07</v>
      </c>
      <c r="K108" s="4">
        <f t="shared" si="0"/>
        <v>2.5594800000000002</v>
      </c>
      <c r="L108" s="4">
        <f t="shared" si="1"/>
        <v>3.9708000000000001</v>
      </c>
      <c r="M108" s="5">
        <f t="shared" si="2"/>
        <v>2.5407200000000005E-2</v>
      </c>
      <c r="N108" s="4">
        <f t="shared" si="3"/>
        <v>6.5556872000000004</v>
      </c>
      <c r="O108" s="4">
        <f t="shared" si="4"/>
        <v>1.4856872000000001</v>
      </c>
    </row>
    <row r="109" spans="1:15" ht="22.5" customHeight="1" x14ac:dyDescent="0.25">
      <c r="A109" s="2" t="s">
        <v>19</v>
      </c>
      <c r="B109" s="2" t="s">
        <v>22</v>
      </c>
      <c r="C109" s="3">
        <v>44896</v>
      </c>
      <c r="D109" s="3">
        <v>44573</v>
      </c>
      <c r="E109" s="2">
        <v>4903</v>
      </c>
      <c r="F109" s="2">
        <v>1143</v>
      </c>
      <c r="G109" s="2">
        <v>2.74</v>
      </c>
      <c r="H109" s="6" t="s">
        <v>20</v>
      </c>
      <c r="I109" s="2">
        <v>583</v>
      </c>
      <c r="J109" s="2">
        <v>7.51</v>
      </c>
      <c r="K109" s="4">
        <f t="shared" si="0"/>
        <v>2.6403300000000001</v>
      </c>
      <c r="L109" s="4">
        <f t="shared" si="1"/>
        <v>2.20635</v>
      </c>
      <c r="M109" s="5">
        <f t="shared" si="2"/>
        <v>3.1948400000000002E-2</v>
      </c>
      <c r="N109" s="4">
        <f t="shared" si="3"/>
        <v>4.8786284000000002</v>
      </c>
      <c r="O109" s="4">
        <f t="shared" si="4"/>
        <v>-2.6313715999999996</v>
      </c>
    </row>
    <row r="110" spans="1:15" ht="22.5" customHeight="1" x14ac:dyDescent="0.25">
      <c r="A110" s="2" t="s">
        <v>19</v>
      </c>
      <c r="B110" s="2" t="s">
        <v>22</v>
      </c>
      <c r="C110" s="3">
        <v>44927</v>
      </c>
      <c r="D110" s="3">
        <v>44927</v>
      </c>
      <c r="E110" s="2">
        <v>4057</v>
      </c>
      <c r="F110" s="2">
        <v>294</v>
      </c>
      <c r="G110" s="2">
        <v>3.37</v>
      </c>
      <c r="H110" s="6" t="s">
        <v>20</v>
      </c>
      <c r="I110" s="2">
        <v>806</v>
      </c>
      <c r="J110" s="2">
        <v>2.5099999999999998</v>
      </c>
      <c r="K110" s="4">
        <f t="shared" si="0"/>
        <v>0.67913999999999997</v>
      </c>
      <c r="L110" s="4">
        <f t="shared" si="1"/>
        <v>1.82565</v>
      </c>
      <c r="M110" s="5">
        <f t="shared" si="2"/>
        <v>5.4324400000000002E-2</v>
      </c>
      <c r="N110" s="4">
        <f t="shared" si="3"/>
        <v>2.5591143999999999</v>
      </c>
      <c r="O110" s="4">
        <f t="shared" si="4"/>
        <v>4.9114400000000114E-2</v>
      </c>
    </row>
    <row r="111" spans="1:15" ht="22.5" customHeight="1" x14ac:dyDescent="0.25">
      <c r="A111" s="2" t="s">
        <v>19</v>
      </c>
      <c r="B111" s="2" t="s">
        <v>22</v>
      </c>
      <c r="C111" s="3">
        <v>44958</v>
      </c>
      <c r="D111" s="3">
        <v>44928</v>
      </c>
      <c r="E111" s="2">
        <v>4746</v>
      </c>
      <c r="F111" s="2">
        <v>1188</v>
      </c>
      <c r="G111" s="2">
        <v>2.81</v>
      </c>
      <c r="H111" s="6" t="s">
        <v>20</v>
      </c>
      <c r="I111" s="2">
        <v>61</v>
      </c>
      <c r="J111" s="2">
        <v>4.93</v>
      </c>
      <c r="K111" s="4">
        <f t="shared" si="0"/>
        <v>2.7442800000000003</v>
      </c>
      <c r="L111" s="4">
        <f t="shared" si="1"/>
        <v>2.1357000000000004</v>
      </c>
      <c r="M111" s="5">
        <f t="shared" si="2"/>
        <v>3.4281999999999997E-3</v>
      </c>
      <c r="N111" s="4">
        <f t="shared" si="3"/>
        <v>4.8834082000000008</v>
      </c>
      <c r="O111" s="4">
        <f t="shared" si="4"/>
        <v>-4.6591799999998962E-2</v>
      </c>
    </row>
    <row r="112" spans="1:15" ht="22.5" customHeight="1" x14ac:dyDescent="0.25">
      <c r="A112" s="2" t="s">
        <v>19</v>
      </c>
      <c r="B112" s="2" t="s">
        <v>22</v>
      </c>
      <c r="C112" s="3">
        <v>44986</v>
      </c>
      <c r="D112" s="3">
        <v>44929</v>
      </c>
      <c r="E112" s="2">
        <v>4784</v>
      </c>
      <c r="F112" s="2">
        <v>417</v>
      </c>
      <c r="G112" s="2">
        <v>7.05</v>
      </c>
      <c r="H112" s="6" t="s">
        <v>20</v>
      </c>
      <c r="I112" s="2">
        <v>505</v>
      </c>
      <c r="J112" s="2">
        <v>1.81</v>
      </c>
      <c r="K112" s="4">
        <f t="shared" si="0"/>
        <v>0.96326999999999996</v>
      </c>
      <c r="L112" s="4">
        <f t="shared" si="1"/>
        <v>2.1528</v>
      </c>
      <c r="M112" s="5">
        <f t="shared" si="2"/>
        <v>7.1205000000000004E-2</v>
      </c>
      <c r="N112" s="4">
        <f t="shared" si="3"/>
        <v>3.1872750000000001</v>
      </c>
      <c r="O112" s="4">
        <f t="shared" si="4"/>
        <v>1.377275</v>
      </c>
    </row>
    <row r="113" spans="1:15" ht="22.5" customHeight="1" x14ac:dyDescent="0.25">
      <c r="A113" s="2" t="s">
        <v>19</v>
      </c>
      <c r="B113" s="2" t="s">
        <v>22</v>
      </c>
      <c r="C113" s="3">
        <v>45017</v>
      </c>
      <c r="D113" s="3">
        <v>44930</v>
      </c>
      <c r="E113" s="2">
        <v>8202</v>
      </c>
      <c r="F113" s="2">
        <v>1073</v>
      </c>
      <c r="G113" s="2">
        <v>6.57</v>
      </c>
      <c r="H113" s="6" t="s">
        <v>17</v>
      </c>
      <c r="I113" s="2">
        <v>460</v>
      </c>
      <c r="J113" s="2">
        <v>6.68</v>
      </c>
      <c r="K113" s="4">
        <f t="shared" si="0"/>
        <v>2.4786299999999999</v>
      </c>
      <c r="L113" s="4">
        <f t="shared" si="1"/>
        <v>3.6909000000000001</v>
      </c>
      <c r="M113" s="5">
        <f t="shared" si="2"/>
        <v>9.0665999999999997E-2</v>
      </c>
      <c r="N113" s="4">
        <f t="shared" si="3"/>
        <v>6.2601959999999996</v>
      </c>
      <c r="O113" s="4">
        <f t="shared" si="4"/>
        <v>-0.41980400000000007</v>
      </c>
    </row>
    <row r="114" spans="1:15" ht="22.5" customHeight="1" x14ac:dyDescent="0.25">
      <c r="A114" s="2" t="s">
        <v>19</v>
      </c>
      <c r="B114" s="2" t="s">
        <v>22</v>
      </c>
      <c r="C114" s="3">
        <v>45047</v>
      </c>
      <c r="D114" s="3">
        <v>44931</v>
      </c>
      <c r="E114" s="2">
        <v>8363</v>
      </c>
      <c r="F114" s="2">
        <v>819</v>
      </c>
      <c r="G114" s="2">
        <v>9.1999999999999993</v>
      </c>
      <c r="H114" s="6" t="s">
        <v>20</v>
      </c>
      <c r="I114" s="2">
        <v>82</v>
      </c>
      <c r="J114" s="2">
        <v>6.29</v>
      </c>
      <c r="K114" s="4">
        <f t="shared" si="0"/>
        <v>1.8918900000000001</v>
      </c>
      <c r="L114" s="4">
        <f t="shared" si="1"/>
        <v>3.76335</v>
      </c>
      <c r="M114" s="5">
        <f t="shared" si="2"/>
        <v>1.5087999999999999E-2</v>
      </c>
      <c r="N114" s="4">
        <f t="shared" si="3"/>
        <v>5.6703280000000005</v>
      </c>
      <c r="O114" s="4">
        <f t="shared" si="4"/>
        <v>-0.61967199999999956</v>
      </c>
    </row>
    <row r="115" spans="1:15" ht="22.5" customHeight="1" x14ac:dyDescent="0.25">
      <c r="A115" s="2" t="s">
        <v>19</v>
      </c>
      <c r="B115" s="2" t="s">
        <v>22</v>
      </c>
      <c r="C115" s="3">
        <v>45078</v>
      </c>
      <c r="D115" s="3">
        <v>44932</v>
      </c>
      <c r="E115" s="2">
        <v>3403</v>
      </c>
      <c r="F115" s="2">
        <v>990</v>
      </c>
      <c r="G115" s="2">
        <v>1.85</v>
      </c>
      <c r="H115" s="6" t="s">
        <v>21</v>
      </c>
      <c r="I115" s="2">
        <v>721</v>
      </c>
      <c r="J115" s="2">
        <v>8.2799999999999994</v>
      </c>
      <c r="K115" s="4">
        <f t="shared" si="0"/>
        <v>2.2869000000000002</v>
      </c>
      <c r="L115" s="4">
        <f t="shared" si="1"/>
        <v>1.5313500000000002</v>
      </c>
      <c r="M115" s="5">
        <f t="shared" si="2"/>
        <v>0.20007749999999999</v>
      </c>
      <c r="N115" s="4">
        <f t="shared" si="3"/>
        <v>4.0183275000000007</v>
      </c>
      <c r="O115" s="4">
        <f t="shared" si="4"/>
        <v>-4.2616724999999986</v>
      </c>
    </row>
    <row r="116" spans="1:15" ht="22.5" customHeight="1" x14ac:dyDescent="0.25">
      <c r="A116" s="2" t="s">
        <v>19</v>
      </c>
      <c r="B116" s="2" t="s">
        <v>22</v>
      </c>
      <c r="C116" s="3">
        <v>45108</v>
      </c>
      <c r="D116" s="3">
        <v>44933</v>
      </c>
      <c r="E116" s="2">
        <v>5650</v>
      </c>
      <c r="F116" s="2">
        <v>430</v>
      </c>
      <c r="G116" s="2">
        <v>6.6</v>
      </c>
      <c r="H116" s="6" t="s">
        <v>20</v>
      </c>
      <c r="I116" s="2">
        <v>653</v>
      </c>
      <c r="J116" s="2">
        <v>4.8600000000000003</v>
      </c>
      <c r="K116" s="4">
        <f t="shared" si="0"/>
        <v>0.99330000000000007</v>
      </c>
      <c r="L116" s="4">
        <f t="shared" si="1"/>
        <v>2.5425</v>
      </c>
      <c r="M116" s="5">
        <f t="shared" si="2"/>
        <v>8.6195999999999995E-2</v>
      </c>
      <c r="N116" s="4">
        <f t="shared" si="3"/>
        <v>3.6219960000000002</v>
      </c>
      <c r="O116" s="4">
        <f t="shared" si="4"/>
        <v>-1.2380040000000001</v>
      </c>
    </row>
    <row r="117" spans="1:15" ht="22.5" customHeight="1" x14ac:dyDescent="0.25">
      <c r="A117" s="2" t="s">
        <v>19</v>
      </c>
      <c r="B117" s="2" t="s">
        <v>22</v>
      </c>
      <c r="C117" s="3">
        <v>45139</v>
      </c>
      <c r="D117" s="3">
        <v>44934</v>
      </c>
      <c r="E117" s="2">
        <v>4332</v>
      </c>
      <c r="F117" s="2">
        <v>746</v>
      </c>
      <c r="G117" s="2">
        <v>1.03</v>
      </c>
      <c r="H117" s="6" t="s">
        <v>17</v>
      </c>
      <c r="I117" s="2">
        <v>327</v>
      </c>
      <c r="J117" s="2">
        <v>5.3</v>
      </c>
      <c r="K117" s="4">
        <f t="shared" si="0"/>
        <v>1.72326</v>
      </c>
      <c r="L117" s="4">
        <f t="shared" si="1"/>
        <v>1.9494</v>
      </c>
      <c r="M117" s="5">
        <f t="shared" si="2"/>
        <v>1.01043E-2</v>
      </c>
      <c r="N117" s="4">
        <f t="shared" si="3"/>
        <v>3.6827643000000001</v>
      </c>
      <c r="O117" s="4">
        <f t="shared" si="4"/>
        <v>-1.6172356999999997</v>
      </c>
    </row>
    <row r="118" spans="1:15" ht="22.5" customHeight="1" x14ac:dyDescent="0.25">
      <c r="A118" s="2" t="s">
        <v>19</v>
      </c>
      <c r="B118" s="2" t="s">
        <v>22</v>
      </c>
      <c r="C118" s="3">
        <v>45170</v>
      </c>
      <c r="D118" s="3">
        <v>44935</v>
      </c>
      <c r="E118" s="2">
        <v>6213</v>
      </c>
      <c r="F118" s="2">
        <v>381</v>
      </c>
      <c r="G118" s="2">
        <v>3.21</v>
      </c>
      <c r="H118" s="6" t="s">
        <v>17</v>
      </c>
      <c r="I118" s="2">
        <v>920</v>
      </c>
      <c r="J118" s="2">
        <v>8.9600000000000009</v>
      </c>
      <c r="K118" s="4">
        <f t="shared" si="0"/>
        <v>0.88011000000000006</v>
      </c>
      <c r="L118" s="4">
        <f t="shared" si="1"/>
        <v>2.7958499999999997</v>
      </c>
      <c r="M118" s="5">
        <f t="shared" si="2"/>
        <v>8.8595999999999994E-2</v>
      </c>
      <c r="N118" s="4">
        <f t="shared" si="3"/>
        <v>3.7645559999999998</v>
      </c>
      <c r="O118" s="4">
        <f t="shared" si="4"/>
        <v>-5.1954440000000011</v>
      </c>
    </row>
    <row r="119" spans="1:15" ht="22.5" customHeight="1" x14ac:dyDescent="0.25">
      <c r="A119" s="2" t="s">
        <v>19</v>
      </c>
      <c r="B119" s="2" t="s">
        <v>22</v>
      </c>
      <c r="C119" s="3">
        <v>45200</v>
      </c>
      <c r="D119" s="3">
        <v>44936</v>
      </c>
      <c r="E119" s="2">
        <v>9521</v>
      </c>
      <c r="F119" s="2">
        <v>374</v>
      </c>
      <c r="G119" s="2">
        <v>6.4</v>
      </c>
      <c r="H119" s="6" t="s">
        <v>21</v>
      </c>
      <c r="I119" s="2">
        <v>633</v>
      </c>
      <c r="J119" s="2">
        <v>4.33</v>
      </c>
      <c r="K119" s="4">
        <f t="shared" si="0"/>
        <v>0.86394000000000004</v>
      </c>
      <c r="L119" s="4">
        <f t="shared" si="1"/>
        <v>4.2844499999999996</v>
      </c>
      <c r="M119" s="5">
        <f t="shared" si="2"/>
        <v>0.60768000000000011</v>
      </c>
      <c r="N119" s="4">
        <f t="shared" si="3"/>
        <v>5.7560700000000002</v>
      </c>
      <c r="O119" s="4">
        <f t="shared" si="4"/>
        <v>1.4260700000000002</v>
      </c>
    </row>
    <row r="120" spans="1:15" ht="22.5" customHeight="1" x14ac:dyDescent="0.25">
      <c r="A120" s="2" t="s">
        <v>19</v>
      </c>
      <c r="B120" s="2" t="s">
        <v>22</v>
      </c>
      <c r="C120" s="3">
        <v>45231</v>
      </c>
      <c r="D120" s="3">
        <v>44937</v>
      </c>
      <c r="E120" s="2">
        <v>6702</v>
      </c>
      <c r="F120" s="2">
        <v>1007</v>
      </c>
      <c r="G120" s="2">
        <v>6.14</v>
      </c>
      <c r="H120" s="6" t="s">
        <v>20</v>
      </c>
      <c r="I120" s="2">
        <v>763</v>
      </c>
      <c r="J120" s="2">
        <v>7.31</v>
      </c>
      <c r="K120" s="4">
        <f t="shared" si="0"/>
        <v>2.3261700000000003</v>
      </c>
      <c r="L120" s="4">
        <f t="shared" si="1"/>
        <v>3.0159000000000002</v>
      </c>
      <c r="M120" s="5">
        <f t="shared" si="2"/>
        <v>9.3696399999999999E-2</v>
      </c>
      <c r="N120" s="4">
        <f t="shared" si="3"/>
        <v>5.4357664000000003</v>
      </c>
      <c r="O120" s="4">
        <f t="shared" si="4"/>
        <v>-1.8742335999999993</v>
      </c>
    </row>
    <row r="121" spans="1:15" ht="22.5" customHeight="1" x14ac:dyDescent="0.25">
      <c r="A121" s="2" t="s">
        <v>19</v>
      </c>
      <c r="B121" s="2" t="s">
        <v>22</v>
      </c>
      <c r="C121" s="3">
        <v>45261</v>
      </c>
      <c r="D121" s="3">
        <v>44938</v>
      </c>
      <c r="E121" s="2">
        <v>7343</v>
      </c>
      <c r="F121" s="2">
        <v>811</v>
      </c>
      <c r="G121" s="2">
        <v>4.82</v>
      </c>
      <c r="H121" s="6" t="s">
        <v>20</v>
      </c>
      <c r="I121" s="2">
        <v>432</v>
      </c>
      <c r="J121" s="2">
        <v>5.84</v>
      </c>
      <c r="K121" s="4">
        <f t="shared" si="0"/>
        <v>1.87341</v>
      </c>
      <c r="L121" s="4">
        <f t="shared" si="1"/>
        <v>3.3043499999999999</v>
      </c>
      <c r="M121" s="5">
        <f t="shared" si="2"/>
        <v>4.1644800000000003E-2</v>
      </c>
      <c r="N121" s="4">
        <f t="shared" si="3"/>
        <v>5.2194048000000004</v>
      </c>
      <c r="O121" s="4">
        <f t="shared" si="4"/>
        <v>-0.62059519999999946</v>
      </c>
    </row>
    <row r="122" spans="1:15" ht="22.5" customHeight="1" x14ac:dyDescent="0.25">
      <c r="A122" s="2" t="s">
        <v>19</v>
      </c>
      <c r="B122" s="2" t="s">
        <v>22</v>
      </c>
      <c r="C122" s="3">
        <v>45292</v>
      </c>
      <c r="D122" s="3">
        <v>45292</v>
      </c>
      <c r="E122" s="2">
        <v>5661</v>
      </c>
      <c r="F122" s="2">
        <v>407</v>
      </c>
      <c r="G122" s="2">
        <v>3.78</v>
      </c>
      <c r="H122" s="6" t="s">
        <v>20</v>
      </c>
      <c r="I122" s="2">
        <v>859</v>
      </c>
      <c r="J122" s="2">
        <v>4.3600000000000003</v>
      </c>
      <c r="K122" s="4">
        <f t="shared" si="0"/>
        <v>0.94017000000000006</v>
      </c>
      <c r="L122" s="4">
        <f t="shared" si="1"/>
        <v>2.5474500000000004</v>
      </c>
      <c r="M122" s="5">
        <f t="shared" si="2"/>
        <v>6.4940399999999995E-2</v>
      </c>
      <c r="N122" s="4">
        <f t="shared" si="3"/>
        <v>3.5525604000000004</v>
      </c>
      <c r="O122" s="4">
        <f t="shared" si="4"/>
        <v>-0.80743959999999992</v>
      </c>
    </row>
    <row r="123" spans="1:15" ht="22.5" customHeight="1" x14ac:dyDescent="0.25">
      <c r="A123" s="2" t="s">
        <v>19</v>
      </c>
      <c r="B123" s="2" t="s">
        <v>22</v>
      </c>
      <c r="C123" s="3">
        <v>45323</v>
      </c>
      <c r="D123" s="3">
        <v>45293</v>
      </c>
      <c r="E123" s="2">
        <v>3759</v>
      </c>
      <c r="F123" s="2">
        <v>821</v>
      </c>
      <c r="G123" s="2">
        <v>2.74</v>
      </c>
      <c r="H123" s="6" t="s">
        <v>20</v>
      </c>
      <c r="I123" s="2">
        <v>930</v>
      </c>
      <c r="J123" s="2">
        <v>3.59</v>
      </c>
      <c r="K123" s="4">
        <f t="shared" si="0"/>
        <v>1.8965099999999999</v>
      </c>
      <c r="L123" s="4">
        <f t="shared" si="1"/>
        <v>1.6915499999999999</v>
      </c>
      <c r="M123" s="5">
        <f t="shared" si="2"/>
        <v>5.0964000000000002E-2</v>
      </c>
      <c r="N123" s="4">
        <f t="shared" si="3"/>
        <v>3.6390239999999996</v>
      </c>
      <c r="O123" s="4">
        <f t="shared" si="4"/>
        <v>4.9023999999999734E-2</v>
      </c>
    </row>
    <row r="124" spans="1:15" ht="22.5" customHeight="1" x14ac:dyDescent="0.25">
      <c r="A124" s="2" t="s">
        <v>19</v>
      </c>
      <c r="B124" s="2" t="s">
        <v>22</v>
      </c>
      <c r="C124" s="3">
        <v>45352</v>
      </c>
      <c r="D124" s="3">
        <v>45294</v>
      </c>
      <c r="E124" s="2">
        <v>5841</v>
      </c>
      <c r="F124" s="2">
        <v>1090</v>
      </c>
      <c r="G124" s="2">
        <v>4.67</v>
      </c>
      <c r="H124" s="6" t="s">
        <v>18</v>
      </c>
      <c r="I124" s="2">
        <v>127</v>
      </c>
      <c r="J124" s="2">
        <v>0.87</v>
      </c>
      <c r="K124" s="4">
        <f t="shared" si="0"/>
        <v>2.5179</v>
      </c>
      <c r="L124" s="4">
        <f t="shared" si="1"/>
        <v>2.6284500000000004</v>
      </c>
      <c r="M124" s="5">
        <f t="shared" si="2"/>
        <v>0.355854</v>
      </c>
      <c r="N124" s="4">
        <f t="shared" si="3"/>
        <v>5.5022039999999999</v>
      </c>
      <c r="O124" s="4">
        <f t="shared" si="4"/>
        <v>4.6322039999999998</v>
      </c>
    </row>
    <row r="125" spans="1:15" ht="22.5" customHeight="1" x14ac:dyDescent="0.25">
      <c r="A125" s="2" t="s">
        <v>19</v>
      </c>
      <c r="B125" s="2" t="s">
        <v>22</v>
      </c>
      <c r="C125" s="3">
        <v>45383</v>
      </c>
      <c r="D125" s="3">
        <v>45295</v>
      </c>
      <c r="E125" s="2">
        <v>4208</v>
      </c>
      <c r="F125" s="2">
        <v>1110</v>
      </c>
      <c r="G125" s="2">
        <v>1.26</v>
      </c>
      <c r="H125" s="6" t="s">
        <v>21</v>
      </c>
      <c r="I125" s="2">
        <v>639</v>
      </c>
      <c r="J125" s="2">
        <v>4.34</v>
      </c>
      <c r="K125" s="4">
        <f t="shared" si="0"/>
        <v>2.5640999999999998</v>
      </c>
      <c r="L125" s="4">
        <f t="shared" si="1"/>
        <v>1.8936000000000002</v>
      </c>
      <c r="M125" s="5">
        <f t="shared" si="2"/>
        <v>0.12077099999999999</v>
      </c>
      <c r="N125" s="4">
        <f t="shared" si="3"/>
        <v>4.5784710000000004</v>
      </c>
      <c r="O125" s="4">
        <f t="shared" si="4"/>
        <v>0.23847100000000054</v>
      </c>
    </row>
    <row r="126" spans="1:15" ht="22.5" customHeight="1" x14ac:dyDescent="0.25">
      <c r="A126" s="2" t="s">
        <v>19</v>
      </c>
      <c r="B126" s="2" t="s">
        <v>22</v>
      </c>
      <c r="C126" s="3">
        <v>45413</v>
      </c>
      <c r="D126" s="3">
        <v>45296</v>
      </c>
      <c r="E126" s="2">
        <v>7218</v>
      </c>
      <c r="F126" s="2">
        <v>924</v>
      </c>
      <c r="G126" s="2">
        <v>2.88</v>
      </c>
      <c r="H126" s="6" t="s">
        <v>20</v>
      </c>
      <c r="I126" s="2">
        <v>649</v>
      </c>
      <c r="J126" s="2">
        <v>0.04</v>
      </c>
      <c r="K126" s="4">
        <f t="shared" si="0"/>
        <v>2.1344400000000001</v>
      </c>
      <c r="L126" s="4">
        <f t="shared" si="1"/>
        <v>3.2481</v>
      </c>
      <c r="M126" s="5">
        <f t="shared" si="2"/>
        <v>3.7382399999999996E-2</v>
      </c>
      <c r="N126" s="4">
        <f t="shared" si="3"/>
        <v>5.4199224000000008</v>
      </c>
      <c r="O126" s="4">
        <f t="shared" si="4"/>
        <v>5.3799224000000008</v>
      </c>
    </row>
    <row r="127" spans="1:15" ht="22.5" customHeight="1" x14ac:dyDescent="0.25">
      <c r="A127" s="2" t="s">
        <v>19</v>
      </c>
      <c r="B127" s="2" t="s">
        <v>22</v>
      </c>
      <c r="C127" s="3">
        <v>45444</v>
      </c>
      <c r="D127" s="3">
        <v>45297</v>
      </c>
      <c r="E127" s="2">
        <v>4261</v>
      </c>
      <c r="F127" s="2">
        <v>1167</v>
      </c>
      <c r="G127" s="2">
        <v>6.6</v>
      </c>
      <c r="H127" s="6" t="s">
        <v>17</v>
      </c>
      <c r="I127" s="2">
        <v>258</v>
      </c>
      <c r="J127" s="2">
        <v>0.53</v>
      </c>
      <c r="K127" s="4">
        <f t="shared" si="0"/>
        <v>2.69577</v>
      </c>
      <c r="L127" s="4">
        <f t="shared" si="1"/>
        <v>1.9174500000000001</v>
      </c>
      <c r="M127" s="5">
        <f t="shared" si="2"/>
        <v>5.1083999999999997E-2</v>
      </c>
      <c r="N127" s="4">
        <f t="shared" si="3"/>
        <v>4.6643040000000004</v>
      </c>
      <c r="O127" s="4">
        <f t="shared" si="4"/>
        <v>4.1343040000000002</v>
      </c>
    </row>
    <row r="128" spans="1:15" ht="22.5" customHeight="1" x14ac:dyDescent="0.25">
      <c r="A128" s="2" t="s">
        <v>19</v>
      </c>
      <c r="B128" s="2" t="s">
        <v>22</v>
      </c>
      <c r="C128" s="3">
        <v>45474</v>
      </c>
      <c r="D128" s="3">
        <v>45298</v>
      </c>
      <c r="E128" s="2">
        <v>5828</v>
      </c>
      <c r="F128" s="2">
        <v>237</v>
      </c>
      <c r="G128" s="2">
        <v>7.98</v>
      </c>
      <c r="H128" s="6" t="s">
        <v>21</v>
      </c>
      <c r="I128" s="2">
        <v>201</v>
      </c>
      <c r="J128" s="2">
        <v>0.24</v>
      </c>
      <c r="K128" s="4">
        <f t="shared" si="0"/>
        <v>0.54747000000000001</v>
      </c>
      <c r="L128" s="4">
        <f t="shared" si="1"/>
        <v>2.6225999999999998</v>
      </c>
      <c r="M128" s="5">
        <f t="shared" si="2"/>
        <v>0.24059700000000001</v>
      </c>
      <c r="N128" s="4">
        <f t="shared" si="3"/>
        <v>3.4106670000000001</v>
      </c>
      <c r="O128" s="4">
        <f t="shared" si="4"/>
        <v>3.1706669999999999</v>
      </c>
    </row>
    <row r="129" spans="1:15" ht="22.5" customHeight="1" x14ac:dyDescent="0.25">
      <c r="A129" s="2" t="s">
        <v>19</v>
      </c>
      <c r="B129" s="2" t="s">
        <v>22</v>
      </c>
      <c r="C129" s="3">
        <v>45505</v>
      </c>
      <c r="D129" s="3">
        <v>45299</v>
      </c>
      <c r="E129" s="2">
        <v>8275</v>
      </c>
      <c r="F129" s="2">
        <v>661</v>
      </c>
      <c r="G129" s="2">
        <v>2.38</v>
      </c>
      <c r="H129" s="6" t="s">
        <v>17</v>
      </c>
      <c r="I129" s="2">
        <v>955</v>
      </c>
      <c r="J129" s="2">
        <v>6.44</v>
      </c>
      <c r="K129" s="4">
        <f t="shared" si="0"/>
        <v>1.52691</v>
      </c>
      <c r="L129" s="4">
        <f t="shared" si="1"/>
        <v>3.7237499999999999</v>
      </c>
      <c r="M129" s="5">
        <f t="shared" si="2"/>
        <v>6.8186999999999998E-2</v>
      </c>
      <c r="N129" s="4">
        <f t="shared" si="3"/>
        <v>5.3188469999999999</v>
      </c>
      <c r="O129" s="4">
        <f t="shared" si="4"/>
        <v>-1.1211530000000005</v>
      </c>
    </row>
    <row r="130" spans="1:15" ht="22.5" customHeight="1" x14ac:dyDescent="0.25">
      <c r="A130" s="2" t="s">
        <v>19</v>
      </c>
      <c r="B130" s="2" t="s">
        <v>22</v>
      </c>
      <c r="C130" s="3">
        <v>45536</v>
      </c>
      <c r="D130" s="3">
        <v>45300</v>
      </c>
      <c r="E130" s="2">
        <v>5216</v>
      </c>
      <c r="F130" s="2">
        <v>501</v>
      </c>
      <c r="G130" s="2">
        <v>8.56</v>
      </c>
      <c r="H130" s="6" t="s">
        <v>18</v>
      </c>
      <c r="I130" s="2">
        <v>524</v>
      </c>
      <c r="J130" s="2">
        <v>5.92</v>
      </c>
      <c r="K130" s="4">
        <f t="shared" si="0"/>
        <v>1.1573099999999998</v>
      </c>
      <c r="L130" s="4">
        <f t="shared" si="1"/>
        <v>2.3472000000000004</v>
      </c>
      <c r="M130" s="5">
        <f t="shared" si="2"/>
        <v>2.6912640000000003</v>
      </c>
      <c r="N130" s="4">
        <f t="shared" si="3"/>
        <v>6.1957740000000001</v>
      </c>
      <c r="O130" s="4">
        <f t="shared" si="4"/>
        <v>0.27577400000000019</v>
      </c>
    </row>
    <row r="131" spans="1:15" ht="22.5" customHeight="1" x14ac:dyDescent="0.25">
      <c r="A131" s="2" t="s">
        <v>19</v>
      </c>
      <c r="B131" s="2" t="s">
        <v>22</v>
      </c>
      <c r="C131" s="3">
        <v>45566</v>
      </c>
      <c r="D131" s="3">
        <v>45301</v>
      </c>
      <c r="E131" s="2">
        <v>3211</v>
      </c>
      <c r="F131" s="2">
        <v>900</v>
      </c>
      <c r="G131" s="2">
        <v>2.06</v>
      </c>
      <c r="H131" s="6" t="s">
        <v>17</v>
      </c>
      <c r="I131" s="2">
        <v>83</v>
      </c>
      <c r="J131" s="2">
        <v>6.39</v>
      </c>
      <c r="K131" s="4">
        <f t="shared" si="0"/>
        <v>2.0790000000000002</v>
      </c>
      <c r="L131" s="4">
        <f t="shared" si="1"/>
        <v>1.44495</v>
      </c>
      <c r="M131" s="5">
        <f t="shared" si="2"/>
        <v>5.1293999999999992E-3</v>
      </c>
      <c r="N131" s="4">
        <f t="shared" si="3"/>
        <v>3.5290794000000001</v>
      </c>
      <c r="O131" s="4">
        <f t="shared" si="4"/>
        <v>-2.8609205999999996</v>
      </c>
    </row>
    <row r="132" spans="1:15" ht="22.5" customHeight="1" x14ac:dyDescent="0.25">
      <c r="A132" s="2" t="s">
        <v>19</v>
      </c>
      <c r="B132" s="2" t="s">
        <v>22</v>
      </c>
      <c r="C132" s="3">
        <v>45597</v>
      </c>
      <c r="D132" s="3">
        <v>45302</v>
      </c>
      <c r="E132" s="2">
        <v>8669</v>
      </c>
      <c r="F132" s="2">
        <v>757</v>
      </c>
      <c r="G132" s="2">
        <v>7.14</v>
      </c>
      <c r="H132" s="6" t="s">
        <v>20</v>
      </c>
      <c r="I132" s="2">
        <v>637</v>
      </c>
      <c r="J132" s="2">
        <v>3.98</v>
      </c>
      <c r="K132" s="4">
        <f t="shared" si="0"/>
        <v>1.7486700000000002</v>
      </c>
      <c r="L132" s="4">
        <f t="shared" si="1"/>
        <v>3.9010500000000001</v>
      </c>
      <c r="M132" s="5">
        <f t="shared" si="2"/>
        <v>9.0963600000000006E-2</v>
      </c>
      <c r="N132" s="4">
        <f t="shared" si="3"/>
        <v>5.7406836000000006</v>
      </c>
      <c r="O132" s="4">
        <f t="shared" si="4"/>
        <v>1.7606836000000006</v>
      </c>
    </row>
    <row r="133" spans="1:15" ht="22.5" customHeight="1" x14ac:dyDescent="0.25">
      <c r="A133" s="2" t="s">
        <v>19</v>
      </c>
      <c r="B133" s="2" t="s">
        <v>22</v>
      </c>
      <c r="C133" s="3">
        <v>45627</v>
      </c>
      <c r="D133" s="3">
        <v>45303</v>
      </c>
      <c r="E133" s="2">
        <v>4744</v>
      </c>
      <c r="F133" s="2">
        <v>328</v>
      </c>
      <c r="G133" s="2">
        <v>4.4400000000000004</v>
      </c>
      <c r="H133" s="6" t="s">
        <v>20</v>
      </c>
      <c r="I133" s="2">
        <v>530</v>
      </c>
      <c r="J133" s="2">
        <v>4</v>
      </c>
      <c r="K133" s="4">
        <f t="shared" si="0"/>
        <v>0.75768000000000002</v>
      </c>
      <c r="L133" s="4">
        <f t="shared" si="1"/>
        <v>2.1348000000000003</v>
      </c>
      <c r="M133" s="5">
        <f t="shared" si="2"/>
        <v>4.7064000000000002E-2</v>
      </c>
      <c r="N133" s="4">
        <f t="shared" si="3"/>
        <v>2.9395440000000006</v>
      </c>
      <c r="O133" s="4">
        <f t="shared" si="4"/>
        <v>-1.0604559999999994</v>
      </c>
    </row>
    <row r="134" spans="1:15" ht="22.5" customHeight="1" x14ac:dyDescent="0.25">
      <c r="A134" s="2" t="s">
        <v>19</v>
      </c>
      <c r="B134" s="2" t="s">
        <v>22</v>
      </c>
      <c r="C134" s="3">
        <v>45658</v>
      </c>
      <c r="D134" s="3">
        <v>45658</v>
      </c>
      <c r="E134" s="2">
        <v>9027</v>
      </c>
      <c r="F134" s="2">
        <v>1121</v>
      </c>
      <c r="G134" s="2">
        <v>3.43</v>
      </c>
      <c r="H134" s="6" t="s">
        <v>17</v>
      </c>
      <c r="I134" s="2">
        <v>420</v>
      </c>
      <c r="J134" s="2">
        <v>4.82</v>
      </c>
      <c r="K134" s="4">
        <f t="shared" si="0"/>
        <v>2.5895100000000002</v>
      </c>
      <c r="L134" s="4">
        <f t="shared" si="1"/>
        <v>4.0621499999999999</v>
      </c>
      <c r="M134" s="5">
        <f t="shared" si="2"/>
        <v>4.3218000000000006E-2</v>
      </c>
      <c r="N134" s="4">
        <f t="shared" si="3"/>
        <v>6.6948780000000001</v>
      </c>
      <c r="O134" s="4">
        <f t="shared" si="4"/>
        <v>1.8748779999999998</v>
      </c>
    </row>
    <row r="135" spans="1:15" ht="22.5" customHeight="1" x14ac:dyDescent="0.25">
      <c r="A135" s="2" t="s">
        <v>19</v>
      </c>
      <c r="B135" s="2" t="s">
        <v>22</v>
      </c>
      <c r="C135" s="3">
        <v>45689</v>
      </c>
      <c r="D135" s="3">
        <v>45659</v>
      </c>
      <c r="E135" s="2">
        <v>4131</v>
      </c>
      <c r="F135" s="2">
        <v>1030</v>
      </c>
      <c r="G135" s="2">
        <v>4.29</v>
      </c>
      <c r="H135" s="6" t="s">
        <v>21</v>
      </c>
      <c r="I135" s="2">
        <v>218</v>
      </c>
      <c r="J135" s="2">
        <v>4.22</v>
      </c>
      <c r="K135" s="4">
        <f t="shared" si="0"/>
        <v>2.3793000000000002</v>
      </c>
      <c r="L135" s="4">
        <f t="shared" si="1"/>
        <v>1.8589500000000001</v>
      </c>
      <c r="M135" s="5">
        <f t="shared" si="2"/>
        <v>0.14028299999999999</v>
      </c>
      <c r="N135" s="4">
        <f t="shared" si="3"/>
        <v>4.3785330000000009</v>
      </c>
      <c r="O135" s="4">
        <f t="shared" si="4"/>
        <v>0.15853300000000115</v>
      </c>
    </row>
    <row r="136" spans="1:15" ht="22.5" customHeight="1" x14ac:dyDescent="0.25">
      <c r="A136" s="2" t="s">
        <v>19</v>
      </c>
      <c r="B136" s="2" t="s">
        <v>22</v>
      </c>
      <c r="C136" s="3">
        <v>45717</v>
      </c>
      <c r="D136" s="3">
        <v>45660</v>
      </c>
      <c r="E136" s="2">
        <v>9752</v>
      </c>
      <c r="F136" s="2">
        <v>1151</v>
      </c>
      <c r="G136" s="2">
        <v>3.28</v>
      </c>
      <c r="H136" s="6" t="s">
        <v>21</v>
      </c>
      <c r="I136" s="2">
        <v>699</v>
      </c>
      <c r="J136" s="2">
        <v>9.5500000000000007</v>
      </c>
      <c r="K136" s="4">
        <f t="shared" si="0"/>
        <v>2.6588099999999999</v>
      </c>
      <c r="L136" s="4">
        <f t="shared" si="1"/>
        <v>4.3884000000000007</v>
      </c>
      <c r="M136" s="5">
        <f t="shared" si="2"/>
        <v>0.34390799999999994</v>
      </c>
      <c r="N136" s="4">
        <f t="shared" si="3"/>
        <v>7.3911180000000005</v>
      </c>
      <c r="O136" s="4">
        <f t="shared" si="4"/>
        <v>-2.1588820000000002</v>
      </c>
    </row>
    <row r="137" spans="1:15" ht="22.5" customHeight="1" x14ac:dyDescent="0.25">
      <c r="A137" s="2" t="s">
        <v>19</v>
      </c>
      <c r="B137" s="2" t="s">
        <v>22</v>
      </c>
      <c r="C137" s="3">
        <v>45748</v>
      </c>
      <c r="D137" s="3">
        <v>45661</v>
      </c>
      <c r="E137" s="2">
        <v>6112</v>
      </c>
      <c r="F137" s="2">
        <v>533</v>
      </c>
      <c r="G137" s="2">
        <v>7.68</v>
      </c>
      <c r="H137" s="6" t="s">
        <v>18</v>
      </c>
      <c r="I137" s="2">
        <v>462</v>
      </c>
      <c r="J137" s="2">
        <v>1.72</v>
      </c>
      <c r="K137" s="4">
        <f t="shared" si="0"/>
        <v>1.23123</v>
      </c>
      <c r="L137" s="4">
        <f t="shared" si="1"/>
        <v>2.7504</v>
      </c>
      <c r="M137" s="5">
        <f t="shared" si="2"/>
        <v>2.1288959999999997</v>
      </c>
      <c r="N137" s="4">
        <f t="shared" si="3"/>
        <v>6.1105260000000001</v>
      </c>
      <c r="O137" s="4">
        <f t="shared" si="4"/>
        <v>4.3905260000000004</v>
      </c>
    </row>
    <row r="138" spans="1:15" ht="22.5" customHeight="1" x14ac:dyDescent="0.25">
      <c r="A138" s="2" t="s">
        <v>19</v>
      </c>
      <c r="B138" s="2" t="s">
        <v>22</v>
      </c>
      <c r="C138" s="3">
        <v>45778</v>
      </c>
      <c r="D138" s="3">
        <v>45662</v>
      </c>
      <c r="E138" s="2">
        <v>5294</v>
      </c>
      <c r="F138" s="2">
        <v>713</v>
      </c>
      <c r="G138" s="2">
        <v>5.84</v>
      </c>
      <c r="H138" s="6" t="s">
        <v>20</v>
      </c>
      <c r="I138" s="2">
        <v>803</v>
      </c>
      <c r="J138" s="2">
        <v>9.44</v>
      </c>
      <c r="K138" s="4">
        <f t="shared" si="0"/>
        <v>1.64703</v>
      </c>
      <c r="L138" s="4">
        <f t="shared" si="1"/>
        <v>2.3823000000000003</v>
      </c>
      <c r="M138" s="5">
        <f t="shared" si="2"/>
        <v>9.3790399999999996E-2</v>
      </c>
      <c r="N138" s="4">
        <f t="shared" si="3"/>
        <v>4.1231203999999995</v>
      </c>
      <c r="O138" s="4">
        <f t="shared" si="4"/>
        <v>-5.3168796</v>
      </c>
    </row>
    <row r="139" spans="1:15" ht="22.5" customHeight="1" x14ac:dyDescent="0.25">
      <c r="A139" s="2" t="s">
        <v>19</v>
      </c>
      <c r="B139" s="2" t="s">
        <v>22</v>
      </c>
      <c r="C139" s="3">
        <v>45809</v>
      </c>
      <c r="D139" s="3">
        <v>45663</v>
      </c>
      <c r="E139" s="2">
        <v>8999</v>
      </c>
      <c r="F139" s="2">
        <v>922</v>
      </c>
      <c r="G139" s="2">
        <v>2.58</v>
      </c>
      <c r="H139" s="6" t="s">
        <v>18</v>
      </c>
      <c r="I139" s="2">
        <v>184</v>
      </c>
      <c r="J139" s="2">
        <v>1.42</v>
      </c>
      <c r="K139" s="4">
        <f t="shared" si="0"/>
        <v>2.12982</v>
      </c>
      <c r="L139" s="4">
        <f t="shared" si="1"/>
        <v>4.04955</v>
      </c>
      <c r="M139" s="5">
        <f t="shared" si="2"/>
        <v>0.28483199999999997</v>
      </c>
      <c r="N139" s="4">
        <f t="shared" si="3"/>
        <v>6.4642020000000002</v>
      </c>
      <c r="O139" s="4">
        <f t="shared" si="4"/>
        <v>5.0442020000000003</v>
      </c>
    </row>
    <row r="140" spans="1:15" ht="22.5" customHeight="1" x14ac:dyDescent="0.25">
      <c r="A140" s="2" t="s">
        <v>19</v>
      </c>
      <c r="B140" s="2" t="s">
        <v>22</v>
      </c>
      <c r="C140" s="3">
        <v>45839</v>
      </c>
      <c r="D140" s="3">
        <v>45664</v>
      </c>
      <c r="E140" s="2">
        <v>3115</v>
      </c>
      <c r="F140" s="2">
        <v>1165</v>
      </c>
      <c r="G140" s="2">
        <v>5.25</v>
      </c>
      <c r="H140" s="6" t="s">
        <v>20</v>
      </c>
      <c r="I140" s="2">
        <v>131</v>
      </c>
      <c r="J140" s="2">
        <v>3.64</v>
      </c>
      <c r="K140" s="4">
        <f t="shared" si="0"/>
        <v>2.6911499999999999</v>
      </c>
      <c r="L140" s="4">
        <f t="shared" si="1"/>
        <v>1.4017500000000001</v>
      </c>
      <c r="M140" s="5">
        <f t="shared" si="2"/>
        <v>1.3755000000000002E-2</v>
      </c>
      <c r="N140" s="4">
        <f t="shared" si="3"/>
        <v>4.1066549999999999</v>
      </c>
      <c r="O140" s="4">
        <f t="shared" si="4"/>
        <v>0.46665499999999982</v>
      </c>
    </row>
    <row r="141" spans="1:15" ht="22.5" customHeight="1" x14ac:dyDescent="0.25">
      <c r="A141" s="2" t="s">
        <v>19</v>
      </c>
      <c r="B141" s="2" t="s">
        <v>22</v>
      </c>
      <c r="C141" s="3">
        <v>45870</v>
      </c>
      <c r="D141" s="3">
        <v>45665</v>
      </c>
      <c r="E141" s="2">
        <v>7378</v>
      </c>
      <c r="F141" s="2">
        <v>1005</v>
      </c>
      <c r="G141" s="2">
        <v>2.0499999999999998</v>
      </c>
      <c r="H141" s="6" t="s">
        <v>17</v>
      </c>
      <c r="I141" s="2">
        <v>727</v>
      </c>
      <c r="J141" s="2">
        <v>9.9600000000000009</v>
      </c>
      <c r="K141" s="4">
        <f t="shared" si="0"/>
        <v>2.3215500000000002</v>
      </c>
      <c r="L141" s="4">
        <f t="shared" si="1"/>
        <v>3.3201000000000001</v>
      </c>
      <c r="M141" s="5">
        <f t="shared" si="2"/>
        <v>4.4710499999999993E-2</v>
      </c>
      <c r="N141" s="4">
        <f t="shared" si="3"/>
        <v>5.6863605000000002</v>
      </c>
      <c r="O141" s="4">
        <f t="shared" si="4"/>
        <v>-4.2736395000000007</v>
      </c>
    </row>
    <row r="142" spans="1:15" ht="22.5" customHeight="1" x14ac:dyDescent="0.25">
      <c r="A142" s="2" t="s">
        <v>19</v>
      </c>
      <c r="B142" s="2" t="s">
        <v>22</v>
      </c>
      <c r="C142" s="3">
        <v>45901</v>
      </c>
      <c r="D142" s="3">
        <v>45666</v>
      </c>
      <c r="E142" s="2">
        <v>9424</v>
      </c>
      <c r="F142" s="2">
        <v>859</v>
      </c>
      <c r="G142" s="2">
        <v>4.71</v>
      </c>
      <c r="H142" s="6" t="s">
        <v>17</v>
      </c>
      <c r="I142" s="2">
        <v>778</v>
      </c>
      <c r="J142" s="2">
        <v>9.98</v>
      </c>
      <c r="K142" s="4">
        <f t="shared" si="0"/>
        <v>1.9842899999999999</v>
      </c>
      <c r="L142" s="4">
        <f t="shared" si="1"/>
        <v>4.2408000000000001</v>
      </c>
      <c r="M142" s="5">
        <f t="shared" si="2"/>
        <v>0.1099314</v>
      </c>
      <c r="N142" s="4">
        <f t="shared" si="3"/>
        <v>6.3350213999999996</v>
      </c>
      <c r="O142" s="4">
        <f t="shared" si="4"/>
        <v>-3.6449786000000008</v>
      </c>
    </row>
    <row r="143" spans="1:15" ht="22.5" customHeight="1" x14ac:dyDescent="0.25">
      <c r="A143" s="2" t="s">
        <v>19</v>
      </c>
      <c r="B143" s="2" t="s">
        <v>22</v>
      </c>
      <c r="C143" s="3">
        <v>45931</v>
      </c>
      <c r="D143" s="3">
        <v>45667</v>
      </c>
      <c r="E143" s="2">
        <v>4682</v>
      </c>
      <c r="F143" s="2">
        <v>954</v>
      </c>
      <c r="G143" s="2">
        <v>8.86</v>
      </c>
      <c r="H143" s="6" t="s">
        <v>21</v>
      </c>
      <c r="I143" s="2">
        <v>767</v>
      </c>
      <c r="J143" s="2">
        <v>1.63</v>
      </c>
      <c r="K143" s="4">
        <f t="shared" si="0"/>
        <v>2.2037400000000003</v>
      </c>
      <c r="L143" s="4">
        <f t="shared" si="1"/>
        <v>2.1069</v>
      </c>
      <c r="M143" s="5">
        <f t="shared" si="2"/>
        <v>1.0193429999999999</v>
      </c>
      <c r="N143" s="4">
        <f t="shared" si="3"/>
        <v>5.3299830000000004</v>
      </c>
      <c r="O143" s="4">
        <f t="shared" si="4"/>
        <v>3.6999830000000005</v>
      </c>
    </row>
    <row r="144" spans="1:15" ht="22.5" customHeight="1" x14ac:dyDescent="0.25">
      <c r="A144" s="2" t="s">
        <v>19</v>
      </c>
      <c r="B144" s="2" t="s">
        <v>22</v>
      </c>
      <c r="C144" s="3">
        <v>45962</v>
      </c>
      <c r="D144" s="3">
        <v>45668</v>
      </c>
      <c r="E144" s="2">
        <v>4122</v>
      </c>
      <c r="F144" s="2">
        <v>987</v>
      </c>
      <c r="G144" s="2">
        <v>6.22</v>
      </c>
      <c r="H144" s="6" t="s">
        <v>18</v>
      </c>
      <c r="I144" s="2">
        <v>56</v>
      </c>
      <c r="J144" s="2">
        <v>3.99</v>
      </c>
      <c r="K144" s="4">
        <f t="shared" si="0"/>
        <v>2.2799700000000001</v>
      </c>
      <c r="L144" s="4">
        <f t="shared" si="1"/>
        <v>1.8549</v>
      </c>
      <c r="M144" s="5">
        <f t="shared" si="2"/>
        <v>0.20899199999999998</v>
      </c>
      <c r="N144" s="4">
        <f t="shared" si="3"/>
        <v>4.3438620000000006</v>
      </c>
      <c r="O144" s="4">
        <f t="shared" si="4"/>
        <v>0.35386200000000034</v>
      </c>
    </row>
    <row r="145" spans="1:15" ht="22.5" customHeight="1" x14ac:dyDescent="0.25">
      <c r="A145" s="2" t="s">
        <v>19</v>
      </c>
      <c r="B145" s="2" t="s">
        <v>22</v>
      </c>
      <c r="C145" s="3">
        <v>45992</v>
      </c>
      <c r="D145" s="3">
        <v>45669</v>
      </c>
      <c r="E145" s="2">
        <v>4631</v>
      </c>
      <c r="F145" s="2">
        <v>625</v>
      </c>
      <c r="G145" s="2">
        <v>3.22</v>
      </c>
      <c r="H145" s="6" t="s">
        <v>17</v>
      </c>
      <c r="I145" s="2">
        <v>670</v>
      </c>
      <c r="J145" s="2">
        <v>1.69</v>
      </c>
      <c r="K145" s="4">
        <f t="shared" si="0"/>
        <v>1.4437500000000001</v>
      </c>
      <c r="L145" s="4">
        <f t="shared" si="1"/>
        <v>2.0839500000000002</v>
      </c>
      <c r="M145" s="5">
        <f t="shared" si="2"/>
        <v>6.4721999999999988E-2</v>
      </c>
      <c r="N145" s="4">
        <f t="shared" si="3"/>
        <v>3.5924220000000004</v>
      </c>
      <c r="O145" s="4">
        <f t="shared" si="4"/>
        <v>1.9024220000000005</v>
      </c>
    </row>
    <row r="146" spans="1:15" ht="22.5" customHeight="1" x14ac:dyDescent="0.25">
      <c r="A146" s="2" t="s">
        <v>23</v>
      </c>
      <c r="B146" s="2" t="s">
        <v>24</v>
      </c>
      <c r="C146" s="3">
        <v>43831</v>
      </c>
      <c r="D146" s="3">
        <v>43831</v>
      </c>
      <c r="E146" s="2">
        <v>8624</v>
      </c>
      <c r="F146" s="2">
        <v>384</v>
      </c>
      <c r="G146" s="2">
        <v>9.52</v>
      </c>
      <c r="H146" s="6" t="s">
        <v>17</v>
      </c>
      <c r="I146" s="2">
        <v>916</v>
      </c>
      <c r="J146" s="2">
        <v>1.41</v>
      </c>
      <c r="K146" s="4">
        <f t="shared" si="0"/>
        <v>0.88703999999999994</v>
      </c>
      <c r="L146" s="4">
        <f t="shared" si="1"/>
        <v>3.8808000000000002</v>
      </c>
      <c r="M146" s="5">
        <f t="shared" si="2"/>
        <v>0.2616096</v>
      </c>
      <c r="N146" s="4">
        <f t="shared" si="3"/>
        <v>5.0294496000000004</v>
      </c>
      <c r="O146" s="4">
        <f t="shared" si="4"/>
        <v>3.6194496000000003</v>
      </c>
    </row>
    <row r="147" spans="1:15" ht="22.5" customHeight="1" x14ac:dyDescent="0.25">
      <c r="A147" s="2" t="s">
        <v>23</v>
      </c>
      <c r="B147" s="2" t="s">
        <v>24</v>
      </c>
      <c r="C147" s="3">
        <v>43862</v>
      </c>
      <c r="D147" s="3">
        <v>43832</v>
      </c>
      <c r="E147" s="2">
        <v>6604</v>
      </c>
      <c r="F147" s="2">
        <v>1087</v>
      </c>
      <c r="G147" s="2">
        <v>9.35</v>
      </c>
      <c r="H147" s="6" t="s">
        <v>18</v>
      </c>
      <c r="I147" s="2">
        <v>526</v>
      </c>
      <c r="J147" s="2">
        <v>2.2400000000000002</v>
      </c>
      <c r="K147" s="4">
        <f t="shared" si="0"/>
        <v>2.5109700000000004</v>
      </c>
      <c r="L147" s="4">
        <f t="shared" si="1"/>
        <v>2.9718</v>
      </c>
      <c r="M147" s="5">
        <f t="shared" si="2"/>
        <v>2.9508599999999996</v>
      </c>
      <c r="N147" s="4">
        <f t="shared" si="3"/>
        <v>8.4336300000000008</v>
      </c>
      <c r="O147" s="4">
        <f t="shared" si="4"/>
        <v>6.1936300000000006</v>
      </c>
    </row>
    <row r="148" spans="1:15" ht="22.5" customHeight="1" x14ac:dyDescent="0.25">
      <c r="A148" s="2" t="s">
        <v>23</v>
      </c>
      <c r="B148" s="2" t="s">
        <v>24</v>
      </c>
      <c r="C148" s="3">
        <v>43891</v>
      </c>
      <c r="D148" s="3">
        <v>43833</v>
      </c>
      <c r="E148" s="2">
        <v>9264</v>
      </c>
      <c r="F148" s="2">
        <v>733</v>
      </c>
      <c r="G148" s="2">
        <v>2.42</v>
      </c>
      <c r="H148" s="6" t="s">
        <v>17</v>
      </c>
      <c r="I148" s="2">
        <v>708</v>
      </c>
      <c r="J148" s="2">
        <v>7.68</v>
      </c>
      <c r="K148" s="4">
        <f t="shared" si="0"/>
        <v>1.69323</v>
      </c>
      <c r="L148" s="4">
        <f t="shared" si="1"/>
        <v>4.1688000000000001</v>
      </c>
      <c r="M148" s="5">
        <f t="shared" si="2"/>
        <v>5.1400799999999996E-2</v>
      </c>
      <c r="N148" s="4">
        <f t="shared" si="3"/>
        <v>5.9134307999999995</v>
      </c>
      <c r="O148" s="4">
        <f t="shared" si="4"/>
        <v>-1.7665692000000002</v>
      </c>
    </row>
    <row r="149" spans="1:15" ht="22.5" customHeight="1" x14ac:dyDescent="0.25">
      <c r="A149" s="2" t="s">
        <v>23</v>
      </c>
      <c r="B149" s="2" t="s">
        <v>24</v>
      </c>
      <c r="C149" s="3">
        <v>43922</v>
      </c>
      <c r="D149" s="3">
        <v>43834</v>
      </c>
      <c r="E149" s="2">
        <v>8929</v>
      </c>
      <c r="F149" s="2">
        <v>566</v>
      </c>
      <c r="G149" s="2">
        <v>5.78</v>
      </c>
      <c r="H149" s="6" t="s">
        <v>18</v>
      </c>
      <c r="I149" s="2">
        <v>398</v>
      </c>
      <c r="J149" s="2">
        <v>9.36</v>
      </c>
      <c r="K149" s="4">
        <f t="shared" si="0"/>
        <v>1.3074600000000001</v>
      </c>
      <c r="L149" s="4">
        <f t="shared" si="1"/>
        <v>4.0180500000000006</v>
      </c>
      <c r="M149" s="5">
        <f t="shared" si="2"/>
        <v>1.3802639999999999</v>
      </c>
      <c r="N149" s="4">
        <f t="shared" si="3"/>
        <v>6.7057739999999999</v>
      </c>
      <c r="O149" s="4">
        <f t="shared" si="4"/>
        <v>-2.6542259999999995</v>
      </c>
    </row>
    <row r="150" spans="1:15" ht="22.5" customHeight="1" x14ac:dyDescent="0.25">
      <c r="A150" s="2" t="s">
        <v>23</v>
      </c>
      <c r="B150" s="2" t="s">
        <v>24</v>
      </c>
      <c r="C150" s="3">
        <v>43952</v>
      </c>
      <c r="D150" s="3">
        <v>43835</v>
      </c>
      <c r="E150" s="2">
        <v>8190</v>
      </c>
      <c r="F150" s="2">
        <v>645</v>
      </c>
      <c r="G150" s="2">
        <v>3.09</v>
      </c>
      <c r="H150" s="6" t="s">
        <v>20</v>
      </c>
      <c r="I150" s="2">
        <v>961</v>
      </c>
      <c r="J150" s="2">
        <v>2.68</v>
      </c>
      <c r="K150" s="4">
        <f t="shared" si="0"/>
        <v>1.4899500000000001</v>
      </c>
      <c r="L150" s="4">
        <f t="shared" si="1"/>
        <v>3.6855000000000002</v>
      </c>
      <c r="M150" s="5">
        <f t="shared" si="2"/>
        <v>5.9389799999999993E-2</v>
      </c>
      <c r="N150" s="4">
        <f t="shared" si="3"/>
        <v>5.2348398000000005</v>
      </c>
      <c r="O150" s="4">
        <f t="shared" si="4"/>
        <v>2.5548398000000003</v>
      </c>
    </row>
    <row r="151" spans="1:15" ht="22.5" customHeight="1" x14ac:dyDescent="0.25">
      <c r="A151" s="2" t="s">
        <v>23</v>
      </c>
      <c r="B151" s="2" t="s">
        <v>24</v>
      </c>
      <c r="C151" s="3">
        <v>43983</v>
      </c>
      <c r="D151" s="3">
        <v>43836</v>
      </c>
      <c r="E151" s="2">
        <v>3608</v>
      </c>
      <c r="F151" s="2">
        <v>402</v>
      </c>
      <c r="G151" s="2">
        <v>3.79</v>
      </c>
      <c r="H151" s="6" t="s">
        <v>18</v>
      </c>
      <c r="I151" s="2">
        <v>619</v>
      </c>
      <c r="J151" s="2">
        <v>4.96</v>
      </c>
      <c r="K151" s="4">
        <f t="shared" si="0"/>
        <v>0.92862</v>
      </c>
      <c r="L151" s="4">
        <f t="shared" si="1"/>
        <v>1.6236000000000002</v>
      </c>
      <c r="M151" s="5">
        <f t="shared" si="2"/>
        <v>1.4076059999999999</v>
      </c>
      <c r="N151" s="4">
        <f t="shared" si="3"/>
        <v>3.9598260000000001</v>
      </c>
      <c r="O151" s="4">
        <f t="shared" si="4"/>
        <v>-1.0001739999999999</v>
      </c>
    </row>
    <row r="152" spans="1:15" ht="22.5" customHeight="1" x14ac:dyDescent="0.25">
      <c r="A152" s="2" t="s">
        <v>23</v>
      </c>
      <c r="B152" s="2" t="s">
        <v>24</v>
      </c>
      <c r="C152" s="3">
        <v>44013</v>
      </c>
      <c r="D152" s="3">
        <v>43837</v>
      </c>
      <c r="E152" s="2">
        <v>7831</v>
      </c>
      <c r="F152" s="2">
        <v>805</v>
      </c>
      <c r="G152" s="2">
        <v>5.16</v>
      </c>
      <c r="H152" s="6" t="s">
        <v>17</v>
      </c>
      <c r="I152" s="2">
        <v>876</v>
      </c>
      <c r="J152" s="2">
        <v>1.02</v>
      </c>
      <c r="K152" s="4">
        <f t="shared" si="0"/>
        <v>1.85955</v>
      </c>
      <c r="L152" s="4">
        <f t="shared" si="1"/>
        <v>3.5239500000000001</v>
      </c>
      <c r="M152" s="5">
        <f t="shared" si="2"/>
        <v>0.13560479999999997</v>
      </c>
      <c r="N152" s="4">
        <f t="shared" si="3"/>
        <v>5.5191048</v>
      </c>
      <c r="O152" s="4">
        <f t="shared" si="4"/>
        <v>4.4991047999999996</v>
      </c>
    </row>
    <row r="153" spans="1:15" ht="22.5" customHeight="1" x14ac:dyDescent="0.25">
      <c r="A153" s="2" t="s">
        <v>23</v>
      </c>
      <c r="B153" s="2" t="s">
        <v>24</v>
      </c>
      <c r="C153" s="3">
        <v>44044</v>
      </c>
      <c r="D153" s="3">
        <v>43838</v>
      </c>
      <c r="E153" s="2">
        <v>7781</v>
      </c>
      <c r="F153" s="2">
        <v>1070</v>
      </c>
      <c r="G153" s="2">
        <v>2.97</v>
      </c>
      <c r="H153" s="6" t="s">
        <v>18</v>
      </c>
      <c r="I153" s="2">
        <v>820</v>
      </c>
      <c r="J153" s="2">
        <v>3.29</v>
      </c>
      <c r="K153" s="4">
        <f t="shared" si="0"/>
        <v>2.4717000000000002</v>
      </c>
      <c r="L153" s="4">
        <f t="shared" si="1"/>
        <v>3.5014500000000002</v>
      </c>
      <c r="M153" s="5">
        <f t="shared" si="2"/>
        <v>1.4612400000000001</v>
      </c>
      <c r="N153" s="4">
        <f t="shared" si="3"/>
        <v>7.4343900000000005</v>
      </c>
      <c r="O153" s="4">
        <f t="shared" si="4"/>
        <v>4.1443900000000005</v>
      </c>
    </row>
    <row r="154" spans="1:15" ht="22.5" customHeight="1" x14ac:dyDescent="0.25">
      <c r="A154" s="2" t="s">
        <v>23</v>
      </c>
      <c r="B154" s="2" t="s">
        <v>24</v>
      </c>
      <c r="C154" s="3">
        <v>44075</v>
      </c>
      <c r="D154" s="3">
        <v>43839</v>
      </c>
      <c r="E154" s="2">
        <v>6186</v>
      </c>
      <c r="F154" s="2">
        <v>1058</v>
      </c>
      <c r="G154" s="2">
        <v>5.57</v>
      </c>
      <c r="H154" s="6" t="s">
        <v>21</v>
      </c>
      <c r="I154" s="2">
        <v>573</v>
      </c>
      <c r="J154" s="2">
        <v>0.31</v>
      </c>
      <c r="K154" s="4">
        <f t="shared" si="0"/>
        <v>2.4439799999999998</v>
      </c>
      <c r="L154" s="4">
        <f t="shared" si="1"/>
        <v>2.7837000000000001</v>
      </c>
      <c r="M154" s="5">
        <f t="shared" si="2"/>
        <v>0.47874150000000004</v>
      </c>
      <c r="N154" s="4">
        <f t="shared" si="3"/>
        <v>5.7064214999999994</v>
      </c>
      <c r="O154" s="4">
        <f t="shared" si="4"/>
        <v>5.3964214999999998</v>
      </c>
    </row>
    <row r="155" spans="1:15" ht="22.5" customHeight="1" x14ac:dyDescent="0.25">
      <c r="A155" s="2" t="s">
        <v>23</v>
      </c>
      <c r="B155" s="2" t="s">
        <v>24</v>
      </c>
      <c r="C155" s="3">
        <v>44105</v>
      </c>
      <c r="D155" s="3">
        <v>43840</v>
      </c>
      <c r="E155" s="2">
        <v>4036</v>
      </c>
      <c r="F155" s="2">
        <v>405</v>
      </c>
      <c r="G155" s="2">
        <v>7.01</v>
      </c>
      <c r="H155" s="6" t="s">
        <v>20</v>
      </c>
      <c r="I155" s="2">
        <v>402</v>
      </c>
      <c r="J155" s="2">
        <v>6.11</v>
      </c>
      <c r="K155" s="4">
        <f t="shared" si="0"/>
        <v>0.9355500000000001</v>
      </c>
      <c r="L155" s="4">
        <f t="shared" si="1"/>
        <v>1.8162</v>
      </c>
      <c r="M155" s="5">
        <f t="shared" si="2"/>
        <v>5.6360400000000005E-2</v>
      </c>
      <c r="N155" s="4">
        <f t="shared" si="3"/>
        <v>2.8081104000000003</v>
      </c>
      <c r="O155" s="4">
        <f t="shared" si="4"/>
        <v>-3.3018896</v>
      </c>
    </row>
    <row r="156" spans="1:15" ht="22.5" customHeight="1" x14ac:dyDescent="0.25">
      <c r="A156" s="2" t="s">
        <v>23</v>
      </c>
      <c r="B156" s="2" t="s">
        <v>24</v>
      </c>
      <c r="C156" s="3">
        <v>44136</v>
      </c>
      <c r="D156" s="3">
        <v>43841</v>
      </c>
      <c r="E156" s="2">
        <v>4494</v>
      </c>
      <c r="F156" s="2">
        <v>721</v>
      </c>
      <c r="G156" s="2">
        <v>2.67</v>
      </c>
      <c r="H156" s="6" t="s">
        <v>17</v>
      </c>
      <c r="I156" s="2">
        <v>530</v>
      </c>
      <c r="J156" s="2">
        <v>6.56</v>
      </c>
      <c r="K156" s="4">
        <f t="shared" si="0"/>
        <v>1.66551</v>
      </c>
      <c r="L156" s="4">
        <f t="shared" si="1"/>
        <v>2.0223</v>
      </c>
      <c r="M156" s="5">
        <f t="shared" si="2"/>
        <v>4.2452999999999998E-2</v>
      </c>
      <c r="N156" s="4">
        <f t="shared" si="3"/>
        <v>3.7302629999999999</v>
      </c>
      <c r="O156" s="4">
        <f t="shared" si="4"/>
        <v>-2.8297369999999997</v>
      </c>
    </row>
    <row r="157" spans="1:15" ht="22.5" customHeight="1" x14ac:dyDescent="0.25">
      <c r="A157" s="2" t="s">
        <v>23</v>
      </c>
      <c r="B157" s="2" t="s">
        <v>24</v>
      </c>
      <c r="C157" s="3">
        <v>44166</v>
      </c>
      <c r="D157" s="3">
        <v>43842</v>
      </c>
      <c r="E157" s="2">
        <v>8434</v>
      </c>
      <c r="F157" s="2">
        <v>483</v>
      </c>
      <c r="G157" s="2">
        <v>3.68</v>
      </c>
      <c r="H157" s="6" t="s">
        <v>17</v>
      </c>
      <c r="I157" s="2">
        <v>968</v>
      </c>
      <c r="J157" s="2">
        <v>9.32</v>
      </c>
      <c r="K157" s="4">
        <f t="shared" si="0"/>
        <v>1.1157300000000001</v>
      </c>
      <c r="L157" s="4">
        <f t="shared" si="1"/>
        <v>3.7953000000000001</v>
      </c>
      <c r="M157" s="5">
        <f t="shared" si="2"/>
        <v>0.1068672</v>
      </c>
      <c r="N157" s="4">
        <f t="shared" si="3"/>
        <v>5.0178972000000002</v>
      </c>
      <c r="O157" s="4">
        <f t="shared" si="4"/>
        <v>-4.3021028000000001</v>
      </c>
    </row>
    <row r="158" spans="1:15" ht="22.5" customHeight="1" x14ac:dyDescent="0.25">
      <c r="A158" s="2" t="s">
        <v>23</v>
      </c>
      <c r="B158" s="2" t="s">
        <v>24</v>
      </c>
      <c r="C158" s="3">
        <v>44197</v>
      </c>
      <c r="D158" s="3">
        <v>44197</v>
      </c>
      <c r="E158" s="2">
        <v>8224</v>
      </c>
      <c r="F158" s="2">
        <v>487</v>
      </c>
      <c r="G158" s="2">
        <v>6.49</v>
      </c>
      <c r="H158" s="6" t="s">
        <v>20</v>
      </c>
      <c r="I158" s="2">
        <v>901</v>
      </c>
      <c r="J158" s="2">
        <v>9.58</v>
      </c>
      <c r="K158" s="4">
        <f t="shared" si="0"/>
        <v>1.12497</v>
      </c>
      <c r="L158" s="4">
        <f t="shared" si="1"/>
        <v>3.7008000000000001</v>
      </c>
      <c r="M158" s="5">
        <f t="shared" si="2"/>
        <v>0.11694979999999999</v>
      </c>
      <c r="N158" s="4">
        <f t="shared" si="3"/>
        <v>4.9427198000000008</v>
      </c>
      <c r="O158" s="4">
        <f t="shared" si="4"/>
        <v>-4.6372801999999993</v>
      </c>
    </row>
    <row r="159" spans="1:15" ht="22.5" customHeight="1" x14ac:dyDescent="0.25">
      <c r="A159" s="2" t="s">
        <v>23</v>
      </c>
      <c r="B159" s="2" t="s">
        <v>24</v>
      </c>
      <c r="C159" s="3">
        <v>44228</v>
      </c>
      <c r="D159" s="3">
        <v>44198</v>
      </c>
      <c r="E159" s="2">
        <v>3558</v>
      </c>
      <c r="F159" s="2">
        <v>504</v>
      </c>
      <c r="G159" s="2">
        <v>4.04</v>
      </c>
      <c r="H159" s="6" t="s">
        <v>18</v>
      </c>
      <c r="I159" s="2">
        <v>855</v>
      </c>
      <c r="J159" s="2">
        <v>8.09</v>
      </c>
      <c r="K159" s="4">
        <f t="shared" si="0"/>
        <v>1.1642399999999999</v>
      </c>
      <c r="L159" s="4">
        <f t="shared" si="1"/>
        <v>1.6011000000000002</v>
      </c>
      <c r="M159" s="5">
        <f t="shared" si="2"/>
        <v>2.0725199999999999</v>
      </c>
      <c r="N159" s="4">
        <f t="shared" si="3"/>
        <v>4.83786</v>
      </c>
      <c r="O159" s="4">
        <f t="shared" si="4"/>
        <v>-3.2521399999999998</v>
      </c>
    </row>
    <row r="160" spans="1:15" ht="22.5" customHeight="1" x14ac:dyDescent="0.25">
      <c r="A160" s="2" t="s">
        <v>23</v>
      </c>
      <c r="B160" s="2" t="s">
        <v>24</v>
      </c>
      <c r="C160" s="3">
        <v>44256</v>
      </c>
      <c r="D160" s="3">
        <v>44199</v>
      </c>
      <c r="E160" s="2">
        <v>3087</v>
      </c>
      <c r="F160" s="2">
        <v>344</v>
      </c>
      <c r="G160" s="2">
        <v>7.71</v>
      </c>
      <c r="H160" s="6" t="s">
        <v>18</v>
      </c>
      <c r="I160" s="2">
        <v>789</v>
      </c>
      <c r="J160" s="2">
        <v>3.03</v>
      </c>
      <c r="K160" s="4">
        <f t="shared" si="0"/>
        <v>0.79464000000000001</v>
      </c>
      <c r="L160" s="4">
        <f t="shared" si="1"/>
        <v>1.3891500000000001</v>
      </c>
      <c r="M160" s="5">
        <f t="shared" si="2"/>
        <v>3.6499139999999999</v>
      </c>
      <c r="N160" s="4">
        <f t="shared" si="3"/>
        <v>5.833704</v>
      </c>
      <c r="O160" s="4">
        <f t="shared" si="4"/>
        <v>2.8037040000000002</v>
      </c>
    </row>
    <row r="161" spans="1:15" ht="22.5" customHeight="1" x14ac:dyDescent="0.25">
      <c r="A161" s="2" t="s">
        <v>23</v>
      </c>
      <c r="B161" s="2" t="s">
        <v>24</v>
      </c>
      <c r="C161" s="3">
        <v>44287</v>
      </c>
      <c r="D161" s="3">
        <v>44200</v>
      </c>
      <c r="E161" s="2">
        <v>8298</v>
      </c>
      <c r="F161" s="2">
        <v>1177</v>
      </c>
      <c r="G161" s="2">
        <v>9.85</v>
      </c>
      <c r="H161" s="6" t="s">
        <v>21</v>
      </c>
      <c r="I161" s="2">
        <v>676</v>
      </c>
      <c r="J161" s="2">
        <v>1.98</v>
      </c>
      <c r="K161" s="4">
        <f t="shared" si="0"/>
        <v>2.7188699999999999</v>
      </c>
      <c r="L161" s="4">
        <f t="shared" si="1"/>
        <v>3.7340999999999998</v>
      </c>
      <c r="M161" s="5">
        <f t="shared" si="2"/>
        <v>0.99878999999999984</v>
      </c>
      <c r="N161" s="4">
        <f t="shared" si="3"/>
        <v>7.4517599999999993</v>
      </c>
      <c r="O161" s="4">
        <f t="shared" si="4"/>
        <v>5.4717599999999997</v>
      </c>
    </row>
    <row r="162" spans="1:15" ht="22.5" customHeight="1" x14ac:dyDescent="0.25">
      <c r="A162" s="2" t="s">
        <v>23</v>
      </c>
      <c r="B162" s="2" t="s">
        <v>24</v>
      </c>
      <c r="C162" s="3">
        <v>44317</v>
      </c>
      <c r="D162" s="3">
        <v>44201</v>
      </c>
      <c r="E162" s="2">
        <v>3406</v>
      </c>
      <c r="F162" s="2">
        <v>661</v>
      </c>
      <c r="G162" s="2">
        <v>7.23</v>
      </c>
      <c r="H162" s="6" t="s">
        <v>18</v>
      </c>
      <c r="I162" s="2">
        <v>368</v>
      </c>
      <c r="J162" s="2">
        <v>5.3</v>
      </c>
      <c r="K162" s="4">
        <f t="shared" si="0"/>
        <v>1.52691</v>
      </c>
      <c r="L162" s="4">
        <f t="shared" si="1"/>
        <v>1.5327</v>
      </c>
      <c r="M162" s="5">
        <f t="shared" si="2"/>
        <v>1.596384</v>
      </c>
      <c r="N162" s="4">
        <f t="shared" si="3"/>
        <v>4.6559939999999997</v>
      </c>
      <c r="O162" s="4">
        <f t="shared" si="4"/>
        <v>-0.64400600000000008</v>
      </c>
    </row>
    <row r="163" spans="1:15" ht="22.5" customHeight="1" x14ac:dyDescent="0.25">
      <c r="A163" s="2" t="s">
        <v>23</v>
      </c>
      <c r="B163" s="2" t="s">
        <v>24</v>
      </c>
      <c r="C163" s="3">
        <v>44348</v>
      </c>
      <c r="D163" s="3">
        <v>44202</v>
      </c>
      <c r="E163" s="2">
        <v>8506</v>
      </c>
      <c r="F163" s="2">
        <v>789</v>
      </c>
      <c r="G163" s="2">
        <v>5.46</v>
      </c>
      <c r="H163" s="6" t="s">
        <v>21</v>
      </c>
      <c r="I163" s="2">
        <v>749</v>
      </c>
      <c r="J163" s="2">
        <v>0.33</v>
      </c>
      <c r="K163" s="4">
        <f t="shared" si="0"/>
        <v>1.8225900000000002</v>
      </c>
      <c r="L163" s="4">
        <f t="shared" si="1"/>
        <v>3.8277000000000001</v>
      </c>
      <c r="M163" s="5">
        <f t="shared" si="2"/>
        <v>0.61343099999999995</v>
      </c>
      <c r="N163" s="4">
        <f t="shared" si="3"/>
        <v>6.2637210000000003</v>
      </c>
      <c r="O163" s="4">
        <f t="shared" si="4"/>
        <v>5.9337210000000002</v>
      </c>
    </row>
    <row r="164" spans="1:15" ht="22.5" customHeight="1" x14ac:dyDescent="0.25">
      <c r="A164" s="2" t="s">
        <v>23</v>
      </c>
      <c r="B164" s="2" t="s">
        <v>24</v>
      </c>
      <c r="C164" s="3">
        <v>44378</v>
      </c>
      <c r="D164" s="3">
        <v>44203</v>
      </c>
      <c r="E164" s="2">
        <v>9890</v>
      </c>
      <c r="F164" s="2">
        <v>604</v>
      </c>
      <c r="G164" s="2">
        <v>8.68</v>
      </c>
      <c r="H164" s="6" t="s">
        <v>17</v>
      </c>
      <c r="I164" s="2">
        <v>275</v>
      </c>
      <c r="J164" s="2">
        <v>6.2</v>
      </c>
      <c r="K164" s="4">
        <f t="shared" si="0"/>
        <v>1.39524</v>
      </c>
      <c r="L164" s="4">
        <f t="shared" si="1"/>
        <v>4.4504999999999999</v>
      </c>
      <c r="M164" s="5">
        <f t="shared" si="2"/>
        <v>7.1609999999999993E-2</v>
      </c>
      <c r="N164" s="4">
        <f t="shared" si="3"/>
        <v>5.9173499999999999</v>
      </c>
      <c r="O164" s="4">
        <f t="shared" si="4"/>
        <v>-0.28265000000000029</v>
      </c>
    </row>
    <row r="165" spans="1:15" ht="22.5" customHeight="1" x14ac:dyDescent="0.25">
      <c r="A165" s="2" t="s">
        <v>23</v>
      </c>
      <c r="B165" s="2" t="s">
        <v>24</v>
      </c>
      <c r="C165" s="3">
        <v>44409</v>
      </c>
      <c r="D165" s="3">
        <v>44204</v>
      </c>
      <c r="E165" s="2">
        <v>7569</v>
      </c>
      <c r="F165" s="2">
        <v>1044</v>
      </c>
      <c r="G165" s="2">
        <v>5.46</v>
      </c>
      <c r="H165" s="6" t="s">
        <v>17</v>
      </c>
      <c r="I165" s="2">
        <v>860</v>
      </c>
      <c r="J165" s="2">
        <v>3.16</v>
      </c>
      <c r="K165" s="4">
        <f t="shared" si="0"/>
        <v>2.4116399999999998</v>
      </c>
      <c r="L165" s="4">
        <f t="shared" si="1"/>
        <v>3.40605</v>
      </c>
      <c r="M165" s="5">
        <f t="shared" si="2"/>
        <v>0.14086799999999999</v>
      </c>
      <c r="N165" s="4">
        <f t="shared" si="3"/>
        <v>5.958558</v>
      </c>
      <c r="O165" s="4">
        <f t="shared" si="4"/>
        <v>2.7985579999999999</v>
      </c>
    </row>
    <row r="166" spans="1:15" ht="22.5" customHeight="1" x14ac:dyDescent="0.25">
      <c r="A166" s="2" t="s">
        <v>23</v>
      </c>
      <c r="B166" s="2" t="s">
        <v>24</v>
      </c>
      <c r="C166" s="3">
        <v>44440</v>
      </c>
      <c r="D166" s="3">
        <v>44205</v>
      </c>
      <c r="E166" s="2">
        <v>9680</v>
      </c>
      <c r="F166" s="2">
        <v>302</v>
      </c>
      <c r="G166" s="2">
        <v>1.41</v>
      </c>
      <c r="H166" s="6" t="s">
        <v>21</v>
      </c>
      <c r="I166" s="2">
        <v>256</v>
      </c>
      <c r="J166" s="2">
        <v>5.96</v>
      </c>
      <c r="K166" s="4">
        <f t="shared" si="0"/>
        <v>0.69762000000000002</v>
      </c>
      <c r="L166" s="4">
        <f t="shared" si="1"/>
        <v>4.3559999999999999</v>
      </c>
      <c r="M166" s="5">
        <f t="shared" si="2"/>
        <v>5.4143999999999998E-2</v>
      </c>
      <c r="N166" s="4">
        <f t="shared" si="3"/>
        <v>5.1077639999999995</v>
      </c>
      <c r="O166" s="4">
        <f t="shared" si="4"/>
        <v>-0.85223600000000044</v>
      </c>
    </row>
    <row r="167" spans="1:15" ht="22.5" customHeight="1" x14ac:dyDescent="0.25">
      <c r="A167" s="2" t="s">
        <v>23</v>
      </c>
      <c r="B167" s="2" t="s">
        <v>24</v>
      </c>
      <c r="C167" s="3">
        <v>44470</v>
      </c>
      <c r="D167" s="3">
        <v>44206</v>
      </c>
      <c r="E167" s="2">
        <v>7340</v>
      </c>
      <c r="F167" s="2">
        <v>1052</v>
      </c>
      <c r="G167" s="2">
        <v>8.35</v>
      </c>
      <c r="H167" s="6" t="s">
        <v>17</v>
      </c>
      <c r="I167" s="2">
        <v>287</v>
      </c>
      <c r="J167" s="2">
        <v>4</v>
      </c>
      <c r="K167" s="4">
        <f t="shared" si="0"/>
        <v>2.4301200000000001</v>
      </c>
      <c r="L167" s="4">
        <f t="shared" si="1"/>
        <v>3.3029999999999999</v>
      </c>
      <c r="M167" s="5">
        <f t="shared" si="2"/>
        <v>7.1893499999999985E-2</v>
      </c>
      <c r="N167" s="4">
        <f t="shared" si="3"/>
        <v>5.8050134999999994</v>
      </c>
      <c r="O167" s="4">
        <f t="shared" si="4"/>
        <v>1.8050134999999994</v>
      </c>
    </row>
    <row r="168" spans="1:15" ht="22.5" customHeight="1" x14ac:dyDescent="0.25">
      <c r="A168" s="2" t="s">
        <v>23</v>
      </c>
      <c r="B168" s="2" t="s">
        <v>24</v>
      </c>
      <c r="C168" s="3">
        <v>44501</v>
      </c>
      <c r="D168" s="3">
        <v>44207</v>
      </c>
      <c r="E168" s="2">
        <v>4992</v>
      </c>
      <c r="F168" s="2">
        <v>1186</v>
      </c>
      <c r="G168" s="2">
        <v>4.28</v>
      </c>
      <c r="H168" s="6" t="s">
        <v>21</v>
      </c>
      <c r="I168" s="2">
        <v>748</v>
      </c>
      <c r="J168" s="2">
        <v>9.66</v>
      </c>
      <c r="K168" s="4">
        <f t="shared" si="0"/>
        <v>2.7396599999999998</v>
      </c>
      <c r="L168" s="4">
        <f t="shared" si="1"/>
        <v>2.2464</v>
      </c>
      <c r="M168" s="5">
        <f t="shared" si="2"/>
        <v>0.48021600000000009</v>
      </c>
      <c r="N168" s="4">
        <f t="shared" si="3"/>
        <v>5.4662760000000006</v>
      </c>
      <c r="O168" s="4">
        <f t="shared" si="4"/>
        <v>-4.1937239999999996</v>
      </c>
    </row>
    <row r="169" spans="1:15" ht="22.5" customHeight="1" x14ac:dyDescent="0.25">
      <c r="A169" s="2" t="s">
        <v>23</v>
      </c>
      <c r="B169" s="2" t="s">
        <v>24</v>
      </c>
      <c r="C169" s="3">
        <v>44531</v>
      </c>
      <c r="D169" s="3">
        <v>44208</v>
      </c>
      <c r="E169" s="2">
        <v>3296</v>
      </c>
      <c r="F169" s="2">
        <v>1142</v>
      </c>
      <c r="G169" s="2">
        <v>9.57</v>
      </c>
      <c r="H169" s="6" t="s">
        <v>17</v>
      </c>
      <c r="I169" s="2">
        <v>740</v>
      </c>
      <c r="J169" s="2">
        <v>9.2899999999999991</v>
      </c>
      <c r="K169" s="4">
        <f t="shared" si="0"/>
        <v>2.63802</v>
      </c>
      <c r="L169" s="4">
        <f t="shared" si="1"/>
        <v>1.4832000000000001</v>
      </c>
      <c r="M169" s="5">
        <f t="shared" si="2"/>
        <v>0.212454</v>
      </c>
      <c r="N169" s="4">
        <f t="shared" si="3"/>
        <v>4.3336740000000002</v>
      </c>
      <c r="O169" s="4">
        <f t="shared" si="4"/>
        <v>-4.9563259999999989</v>
      </c>
    </row>
    <row r="170" spans="1:15" ht="22.5" customHeight="1" x14ac:dyDescent="0.25">
      <c r="A170" s="2" t="s">
        <v>23</v>
      </c>
      <c r="B170" s="2" t="s">
        <v>24</v>
      </c>
      <c r="C170" s="3">
        <v>44562</v>
      </c>
      <c r="D170" s="3">
        <v>44562</v>
      </c>
      <c r="E170" s="2">
        <v>8688</v>
      </c>
      <c r="F170" s="2">
        <v>845</v>
      </c>
      <c r="G170" s="2">
        <v>4.26</v>
      </c>
      <c r="H170" s="6" t="s">
        <v>21</v>
      </c>
      <c r="I170" s="2">
        <v>912</v>
      </c>
      <c r="J170" s="2">
        <v>3.44</v>
      </c>
      <c r="K170" s="4">
        <f t="shared" si="0"/>
        <v>1.9519500000000001</v>
      </c>
      <c r="L170" s="4">
        <f t="shared" si="1"/>
        <v>3.9095999999999997</v>
      </c>
      <c r="M170" s="5">
        <f t="shared" si="2"/>
        <v>0.58276799999999995</v>
      </c>
      <c r="N170" s="4">
        <f t="shared" si="3"/>
        <v>6.4443179999999991</v>
      </c>
      <c r="O170" s="4">
        <f t="shared" si="4"/>
        <v>3.0043179999999992</v>
      </c>
    </row>
    <row r="171" spans="1:15" ht="22.5" customHeight="1" x14ac:dyDescent="0.25">
      <c r="A171" s="2" t="s">
        <v>23</v>
      </c>
      <c r="B171" s="2" t="s">
        <v>24</v>
      </c>
      <c r="C171" s="3">
        <v>44593</v>
      </c>
      <c r="D171" s="3">
        <v>44563</v>
      </c>
      <c r="E171" s="2">
        <v>6868</v>
      </c>
      <c r="F171" s="2">
        <v>1141</v>
      </c>
      <c r="G171" s="2">
        <v>5.95</v>
      </c>
      <c r="H171" s="6" t="s">
        <v>17</v>
      </c>
      <c r="I171" s="2">
        <v>69</v>
      </c>
      <c r="J171" s="2">
        <v>9.8699999999999992</v>
      </c>
      <c r="K171" s="4">
        <f t="shared" si="0"/>
        <v>2.63571</v>
      </c>
      <c r="L171" s="4">
        <f t="shared" si="1"/>
        <v>3.0905999999999998</v>
      </c>
      <c r="M171" s="5">
        <f t="shared" si="2"/>
        <v>1.2316499999999999E-2</v>
      </c>
      <c r="N171" s="4">
        <f t="shared" si="3"/>
        <v>5.7386264999999996</v>
      </c>
      <c r="O171" s="4">
        <f t="shared" si="4"/>
        <v>-4.1313734999999996</v>
      </c>
    </row>
    <row r="172" spans="1:15" ht="22.5" customHeight="1" x14ac:dyDescent="0.25">
      <c r="A172" s="2" t="s">
        <v>23</v>
      </c>
      <c r="B172" s="2" t="s">
        <v>24</v>
      </c>
      <c r="C172" s="3">
        <v>44621</v>
      </c>
      <c r="D172" s="3">
        <v>44564</v>
      </c>
      <c r="E172" s="2">
        <v>4099</v>
      </c>
      <c r="F172" s="2">
        <v>648</v>
      </c>
      <c r="G172" s="2">
        <v>1.61</v>
      </c>
      <c r="H172" s="6" t="s">
        <v>20</v>
      </c>
      <c r="I172" s="2">
        <v>944</v>
      </c>
      <c r="J172" s="2">
        <v>2.8</v>
      </c>
      <c r="K172" s="4">
        <f t="shared" si="0"/>
        <v>1.4968800000000002</v>
      </c>
      <c r="L172" s="4">
        <f t="shared" si="1"/>
        <v>1.8445499999999999</v>
      </c>
      <c r="M172" s="5">
        <f t="shared" si="2"/>
        <v>3.0396799999999998E-2</v>
      </c>
      <c r="N172" s="4">
        <f t="shared" si="3"/>
        <v>3.3718268</v>
      </c>
      <c r="O172" s="4">
        <f t="shared" si="4"/>
        <v>0.57182680000000019</v>
      </c>
    </row>
    <row r="173" spans="1:15" ht="22.5" customHeight="1" x14ac:dyDescent="0.25">
      <c r="A173" s="2" t="s">
        <v>23</v>
      </c>
      <c r="B173" s="2" t="s">
        <v>24</v>
      </c>
      <c r="C173" s="3">
        <v>44652</v>
      </c>
      <c r="D173" s="3">
        <v>44565</v>
      </c>
      <c r="E173" s="2">
        <v>6727</v>
      </c>
      <c r="F173" s="2">
        <v>506</v>
      </c>
      <c r="G173" s="2">
        <v>9.6999999999999993</v>
      </c>
      <c r="H173" s="6" t="s">
        <v>17</v>
      </c>
      <c r="I173" s="2">
        <v>183</v>
      </c>
      <c r="J173" s="2">
        <v>1.46</v>
      </c>
      <c r="K173" s="4">
        <f t="shared" si="0"/>
        <v>1.1688600000000002</v>
      </c>
      <c r="L173" s="4">
        <f t="shared" si="1"/>
        <v>3.0271500000000002</v>
      </c>
      <c r="M173" s="5">
        <f t="shared" si="2"/>
        <v>5.3253000000000002E-2</v>
      </c>
      <c r="N173" s="4">
        <f t="shared" si="3"/>
        <v>4.249263</v>
      </c>
      <c r="O173" s="4">
        <f t="shared" si="4"/>
        <v>2.789263</v>
      </c>
    </row>
    <row r="174" spans="1:15" ht="22.5" customHeight="1" x14ac:dyDescent="0.25">
      <c r="A174" s="2" t="s">
        <v>23</v>
      </c>
      <c r="B174" s="2" t="s">
        <v>24</v>
      </c>
      <c r="C174" s="3">
        <v>44682</v>
      </c>
      <c r="D174" s="3">
        <v>44566</v>
      </c>
      <c r="E174" s="2">
        <v>6273</v>
      </c>
      <c r="F174" s="2">
        <v>692</v>
      </c>
      <c r="G174" s="2">
        <v>7.16</v>
      </c>
      <c r="H174" s="6" t="s">
        <v>20</v>
      </c>
      <c r="I174" s="2">
        <v>136</v>
      </c>
      <c r="J174" s="2">
        <v>5.6</v>
      </c>
      <c r="K174" s="4">
        <f t="shared" si="0"/>
        <v>1.5985199999999999</v>
      </c>
      <c r="L174" s="4">
        <f t="shared" si="1"/>
        <v>2.8228499999999999</v>
      </c>
      <c r="M174" s="5">
        <f t="shared" si="2"/>
        <v>1.9475200000000002E-2</v>
      </c>
      <c r="N174" s="4">
        <f t="shared" si="3"/>
        <v>4.4408451999999992</v>
      </c>
      <c r="O174" s="4">
        <f t="shared" si="4"/>
        <v>-1.1591548000000005</v>
      </c>
    </row>
    <row r="175" spans="1:15" ht="22.5" customHeight="1" x14ac:dyDescent="0.25">
      <c r="A175" s="2" t="s">
        <v>23</v>
      </c>
      <c r="B175" s="2" t="s">
        <v>24</v>
      </c>
      <c r="C175" s="3">
        <v>44713</v>
      </c>
      <c r="D175" s="3">
        <v>44567</v>
      </c>
      <c r="E175" s="2">
        <v>8532</v>
      </c>
      <c r="F175" s="2">
        <v>881</v>
      </c>
      <c r="G175" s="2">
        <v>5.42</v>
      </c>
      <c r="H175" s="6" t="s">
        <v>18</v>
      </c>
      <c r="I175" s="2">
        <v>522</v>
      </c>
      <c r="J175" s="2">
        <v>4.16</v>
      </c>
      <c r="K175" s="4">
        <f t="shared" si="0"/>
        <v>2.03511</v>
      </c>
      <c r="L175" s="4">
        <f t="shared" si="1"/>
        <v>3.8393999999999999</v>
      </c>
      <c r="M175" s="5">
        <f t="shared" si="2"/>
        <v>1.6975439999999999</v>
      </c>
      <c r="N175" s="4">
        <f t="shared" si="3"/>
        <v>7.5720539999999996</v>
      </c>
      <c r="O175" s="4">
        <f t="shared" si="4"/>
        <v>3.4120539999999995</v>
      </c>
    </row>
    <row r="176" spans="1:15" ht="22.5" customHeight="1" x14ac:dyDescent="0.25">
      <c r="A176" s="2" t="s">
        <v>23</v>
      </c>
      <c r="B176" s="2" t="s">
        <v>24</v>
      </c>
      <c r="C176" s="3">
        <v>44743</v>
      </c>
      <c r="D176" s="3">
        <v>44568</v>
      </c>
      <c r="E176" s="2">
        <v>6254</v>
      </c>
      <c r="F176" s="2">
        <v>436</v>
      </c>
      <c r="G176" s="2">
        <v>1.44</v>
      </c>
      <c r="H176" s="6" t="s">
        <v>17</v>
      </c>
      <c r="I176" s="2">
        <v>411</v>
      </c>
      <c r="J176" s="2">
        <v>9.49</v>
      </c>
      <c r="K176" s="4">
        <f t="shared" si="0"/>
        <v>1.0071600000000001</v>
      </c>
      <c r="L176" s="4">
        <f t="shared" si="1"/>
        <v>2.8143000000000002</v>
      </c>
      <c r="M176" s="5">
        <f t="shared" si="2"/>
        <v>1.7755199999999999E-2</v>
      </c>
      <c r="N176" s="4">
        <f t="shared" si="3"/>
        <v>3.8392151999999999</v>
      </c>
      <c r="O176" s="4">
        <f t="shared" si="4"/>
        <v>-5.6507848000000003</v>
      </c>
    </row>
    <row r="177" spans="1:15" ht="22.5" customHeight="1" x14ac:dyDescent="0.25">
      <c r="A177" s="2" t="s">
        <v>23</v>
      </c>
      <c r="B177" s="2" t="s">
        <v>24</v>
      </c>
      <c r="C177" s="3">
        <v>44774</v>
      </c>
      <c r="D177" s="3">
        <v>44569</v>
      </c>
      <c r="E177" s="2">
        <v>8322</v>
      </c>
      <c r="F177" s="2">
        <v>291</v>
      </c>
      <c r="G177" s="2">
        <v>9.89</v>
      </c>
      <c r="H177" s="6" t="s">
        <v>17</v>
      </c>
      <c r="I177" s="2">
        <v>596</v>
      </c>
      <c r="J177" s="2">
        <v>1.37</v>
      </c>
      <c r="K177" s="4">
        <f t="shared" si="0"/>
        <v>0.67221000000000009</v>
      </c>
      <c r="L177" s="4">
        <f t="shared" si="1"/>
        <v>3.7448999999999999</v>
      </c>
      <c r="M177" s="5">
        <f t="shared" si="2"/>
        <v>0.1768332</v>
      </c>
      <c r="N177" s="4">
        <f t="shared" si="3"/>
        <v>4.5939432</v>
      </c>
      <c r="O177" s="4">
        <f t="shared" si="4"/>
        <v>3.2239431999999999</v>
      </c>
    </row>
    <row r="178" spans="1:15" ht="22.5" customHeight="1" x14ac:dyDescent="0.25">
      <c r="A178" s="2" t="s">
        <v>23</v>
      </c>
      <c r="B178" s="2" t="s">
        <v>24</v>
      </c>
      <c r="C178" s="3">
        <v>44805</v>
      </c>
      <c r="D178" s="3">
        <v>44570</v>
      </c>
      <c r="E178" s="2">
        <v>8421</v>
      </c>
      <c r="F178" s="2">
        <v>463</v>
      </c>
      <c r="G178" s="2">
        <v>4.71</v>
      </c>
      <c r="H178" s="6" t="s">
        <v>20</v>
      </c>
      <c r="I178" s="2">
        <v>992</v>
      </c>
      <c r="J178" s="2">
        <v>3.48</v>
      </c>
      <c r="K178" s="4">
        <f t="shared" si="0"/>
        <v>1.0695299999999999</v>
      </c>
      <c r="L178" s="4">
        <f t="shared" si="1"/>
        <v>3.7894500000000004</v>
      </c>
      <c r="M178" s="5">
        <f t="shared" si="2"/>
        <v>9.3446399999999999E-2</v>
      </c>
      <c r="N178" s="4">
        <f t="shared" si="3"/>
        <v>4.9524264000000011</v>
      </c>
      <c r="O178" s="4">
        <f t="shared" si="4"/>
        <v>1.4724264000000011</v>
      </c>
    </row>
    <row r="179" spans="1:15" ht="22.5" customHeight="1" x14ac:dyDescent="0.25">
      <c r="A179" s="2" t="s">
        <v>23</v>
      </c>
      <c r="B179" s="2" t="s">
        <v>24</v>
      </c>
      <c r="C179" s="3">
        <v>44835</v>
      </c>
      <c r="D179" s="3">
        <v>44571</v>
      </c>
      <c r="E179" s="2">
        <v>9984</v>
      </c>
      <c r="F179" s="2">
        <v>352</v>
      </c>
      <c r="G179" s="2">
        <v>9.1999999999999993</v>
      </c>
      <c r="H179" s="6" t="s">
        <v>18</v>
      </c>
      <c r="I179" s="2">
        <v>208</v>
      </c>
      <c r="J179" s="2">
        <v>4.84</v>
      </c>
      <c r="K179" s="4">
        <f t="shared" si="0"/>
        <v>0.81311999999999995</v>
      </c>
      <c r="L179" s="4">
        <f t="shared" si="1"/>
        <v>4.4927999999999999</v>
      </c>
      <c r="M179" s="5">
        <f t="shared" si="2"/>
        <v>1.1481599999999998</v>
      </c>
      <c r="N179" s="4">
        <f t="shared" si="3"/>
        <v>6.4540799999999994</v>
      </c>
      <c r="O179" s="4">
        <f t="shared" si="4"/>
        <v>1.6140799999999995</v>
      </c>
    </row>
    <row r="180" spans="1:15" ht="22.5" customHeight="1" x14ac:dyDescent="0.25">
      <c r="A180" s="2" t="s">
        <v>23</v>
      </c>
      <c r="B180" s="2" t="s">
        <v>24</v>
      </c>
      <c r="C180" s="3">
        <v>44866</v>
      </c>
      <c r="D180" s="3">
        <v>44572</v>
      </c>
      <c r="E180" s="2">
        <v>9361</v>
      </c>
      <c r="F180" s="2">
        <v>670</v>
      </c>
      <c r="G180" s="2">
        <v>3.12</v>
      </c>
      <c r="H180" s="6" t="s">
        <v>17</v>
      </c>
      <c r="I180" s="2">
        <v>719</v>
      </c>
      <c r="J180" s="2">
        <v>4.5</v>
      </c>
      <c r="K180" s="4">
        <f t="shared" si="0"/>
        <v>1.5477000000000001</v>
      </c>
      <c r="L180" s="4">
        <f t="shared" si="1"/>
        <v>4.2124499999999996</v>
      </c>
      <c r="M180" s="5">
        <f t="shared" si="2"/>
        <v>6.7298399999999994E-2</v>
      </c>
      <c r="N180" s="4">
        <f t="shared" si="3"/>
        <v>5.8274483999999998</v>
      </c>
      <c r="O180" s="4">
        <f t="shared" si="4"/>
        <v>1.3274483999999998</v>
      </c>
    </row>
    <row r="181" spans="1:15" ht="22.5" customHeight="1" x14ac:dyDescent="0.25">
      <c r="A181" s="2" t="s">
        <v>23</v>
      </c>
      <c r="B181" s="2" t="s">
        <v>24</v>
      </c>
      <c r="C181" s="3">
        <v>44896</v>
      </c>
      <c r="D181" s="3">
        <v>44573</v>
      </c>
      <c r="E181" s="2">
        <v>7525</v>
      </c>
      <c r="F181" s="2">
        <v>313</v>
      </c>
      <c r="G181" s="2">
        <v>6.81</v>
      </c>
      <c r="H181" s="6" t="s">
        <v>21</v>
      </c>
      <c r="I181" s="2">
        <v>242</v>
      </c>
      <c r="J181" s="2">
        <v>7.14</v>
      </c>
      <c r="K181" s="4">
        <f t="shared" si="0"/>
        <v>0.72302999999999995</v>
      </c>
      <c r="L181" s="4">
        <f t="shared" si="1"/>
        <v>3.38625</v>
      </c>
      <c r="M181" s="5">
        <f t="shared" si="2"/>
        <v>0.24720299999999998</v>
      </c>
      <c r="N181" s="4">
        <f t="shared" si="3"/>
        <v>4.3564829999999999</v>
      </c>
      <c r="O181" s="4">
        <f t="shared" si="4"/>
        <v>-2.7835169999999998</v>
      </c>
    </row>
    <row r="182" spans="1:15" ht="22.5" customHeight="1" x14ac:dyDescent="0.25">
      <c r="A182" s="2" t="s">
        <v>23</v>
      </c>
      <c r="B182" s="2" t="s">
        <v>24</v>
      </c>
      <c r="C182" s="3">
        <v>44927</v>
      </c>
      <c r="D182" s="3">
        <v>44927</v>
      </c>
      <c r="E182" s="2">
        <v>4578</v>
      </c>
      <c r="F182" s="2">
        <v>362</v>
      </c>
      <c r="G182" s="2">
        <v>6.47</v>
      </c>
      <c r="H182" s="6" t="s">
        <v>18</v>
      </c>
      <c r="I182" s="2">
        <v>514</v>
      </c>
      <c r="J182" s="2">
        <v>0.36</v>
      </c>
      <c r="K182" s="4">
        <f t="shared" si="0"/>
        <v>0.83622000000000007</v>
      </c>
      <c r="L182" s="4">
        <f t="shared" si="1"/>
        <v>2.0600999999999998</v>
      </c>
      <c r="M182" s="5">
        <f t="shared" si="2"/>
        <v>1.9953479999999997</v>
      </c>
      <c r="N182" s="4">
        <f t="shared" si="3"/>
        <v>4.8916679999999992</v>
      </c>
      <c r="O182" s="4">
        <f t="shared" si="4"/>
        <v>4.5316679999999989</v>
      </c>
    </row>
    <row r="183" spans="1:15" ht="22.5" customHeight="1" x14ac:dyDescent="0.25">
      <c r="A183" s="2" t="s">
        <v>23</v>
      </c>
      <c r="B183" s="2" t="s">
        <v>24</v>
      </c>
      <c r="C183" s="3">
        <v>44958</v>
      </c>
      <c r="D183" s="3">
        <v>44928</v>
      </c>
      <c r="E183" s="2">
        <v>3932</v>
      </c>
      <c r="F183" s="2">
        <v>564</v>
      </c>
      <c r="G183" s="2">
        <v>2.5299999999999998</v>
      </c>
      <c r="H183" s="6" t="s">
        <v>20</v>
      </c>
      <c r="I183" s="2">
        <v>645</v>
      </c>
      <c r="J183" s="2">
        <v>9.0500000000000007</v>
      </c>
      <c r="K183" s="4">
        <f t="shared" si="0"/>
        <v>1.30284</v>
      </c>
      <c r="L183" s="4">
        <f t="shared" si="1"/>
        <v>1.7694000000000001</v>
      </c>
      <c r="M183" s="5">
        <f t="shared" si="2"/>
        <v>3.2636999999999999E-2</v>
      </c>
      <c r="N183" s="4">
        <f t="shared" si="3"/>
        <v>3.1048769999999997</v>
      </c>
      <c r="O183" s="4">
        <f t="shared" si="4"/>
        <v>-5.9451230000000006</v>
      </c>
    </row>
    <row r="184" spans="1:15" ht="22.5" customHeight="1" x14ac:dyDescent="0.25">
      <c r="A184" s="2" t="s">
        <v>23</v>
      </c>
      <c r="B184" s="2" t="s">
        <v>24</v>
      </c>
      <c r="C184" s="3">
        <v>44986</v>
      </c>
      <c r="D184" s="3">
        <v>44929</v>
      </c>
      <c r="E184" s="2">
        <v>6928</v>
      </c>
      <c r="F184" s="2">
        <v>1026</v>
      </c>
      <c r="G184" s="2">
        <v>5.18</v>
      </c>
      <c r="H184" s="6" t="s">
        <v>21</v>
      </c>
      <c r="I184" s="2">
        <v>280</v>
      </c>
      <c r="J184" s="2">
        <v>3.63</v>
      </c>
      <c r="K184" s="4">
        <f t="shared" si="0"/>
        <v>2.3700600000000001</v>
      </c>
      <c r="L184" s="4">
        <f t="shared" si="1"/>
        <v>3.1175999999999999</v>
      </c>
      <c r="M184" s="5">
        <f t="shared" si="2"/>
        <v>0.21756</v>
      </c>
      <c r="N184" s="4">
        <f t="shared" si="3"/>
        <v>5.7052199999999997</v>
      </c>
      <c r="O184" s="4">
        <f t="shared" si="4"/>
        <v>2.0752199999999998</v>
      </c>
    </row>
    <row r="185" spans="1:15" ht="22.5" customHeight="1" x14ac:dyDescent="0.25">
      <c r="A185" s="2" t="s">
        <v>23</v>
      </c>
      <c r="B185" s="2" t="s">
        <v>24</v>
      </c>
      <c r="C185" s="3">
        <v>45017</v>
      </c>
      <c r="D185" s="3">
        <v>44930</v>
      </c>
      <c r="E185" s="2">
        <v>8233</v>
      </c>
      <c r="F185" s="2">
        <v>389</v>
      </c>
      <c r="G185" s="2">
        <v>6.45</v>
      </c>
      <c r="H185" s="6" t="s">
        <v>20</v>
      </c>
      <c r="I185" s="2">
        <v>603</v>
      </c>
      <c r="J185" s="2">
        <v>5</v>
      </c>
      <c r="K185" s="4">
        <f t="shared" si="0"/>
        <v>0.89859</v>
      </c>
      <c r="L185" s="4">
        <f t="shared" si="1"/>
        <v>3.70485</v>
      </c>
      <c r="M185" s="5">
        <f t="shared" si="2"/>
        <v>7.7787000000000009E-2</v>
      </c>
      <c r="N185" s="4">
        <f t="shared" si="3"/>
        <v>4.6812269999999998</v>
      </c>
      <c r="O185" s="4">
        <f t="shared" si="4"/>
        <v>-0.3187730000000002</v>
      </c>
    </row>
    <row r="186" spans="1:15" ht="22.5" customHeight="1" x14ac:dyDescent="0.25">
      <c r="A186" s="2" t="s">
        <v>23</v>
      </c>
      <c r="B186" s="2" t="s">
        <v>24</v>
      </c>
      <c r="C186" s="3">
        <v>45047</v>
      </c>
      <c r="D186" s="3">
        <v>44931</v>
      </c>
      <c r="E186" s="2">
        <v>8592</v>
      </c>
      <c r="F186" s="2">
        <v>490</v>
      </c>
      <c r="G186" s="2">
        <v>3.75</v>
      </c>
      <c r="H186" s="6" t="s">
        <v>18</v>
      </c>
      <c r="I186" s="2">
        <v>72</v>
      </c>
      <c r="J186" s="2">
        <v>1.01</v>
      </c>
      <c r="K186" s="4">
        <f t="shared" si="0"/>
        <v>1.1319000000000001</v>
      </c>
      <c r="L186" s="4">
        <f t="shared" si="1"/>
        <v>3.8664000000000001</v>
      </c>
      <c r="M186" s="5">
        <f t="shared" si="2"/>
        <v>0.16199999999999998</v>
      </c>
      <c r="N186" s="4">
        <f t="shared" si="3"/>
        <v>5.1603000000000003</v>
      </c>
      <c r="O186" s="4">
        <f t="shared" si="4"/>
        <v>4.1503000000000005</v>
      </c>
    </row>
    <row r="187" spans="1:15" ht="22.5" customHeight="1" x14ac:dyDescent="0.25">
      <c r="A187" s="2" t="s">
        <v>23</v>
      </c>
      <c r="B187" s="2" t="s">
        <v>24</v>
      </c>
      <c r="C187" s="3">
        <v>45078</v>
      </c>
      <c r="D187" s="3">
        <v>44932</v>
      </c>
      <c r="E187" s="2">
        <v>9540</v>
      </c>
      <c r="F187" s="2">
        <v>754</v>
      </c>
      <c r="G187" s="2">
        <v>4.5999999999999996</v>
      </c>
      <c r="H187" s="6" t="s">
        <v>18</v>
      </c>
      <c r="I187" s="2">
        <v>308</v>
      </c>
      <c r="J187" s="2">
        <v>4.47</v>
      </c>
      <c r="K187" s="4">
        <f t="shared" si="0"/>
        <v>1.7417400000000001</v>
      </c>
      <c r="L187" s="4">
        <f t="shared" si="1"/>
        <v>4.2930000000000001</v>
      </c>
      <c r="M187" s="5">
        <f t="shared" si="2"/>
        <v>0.85007999999999984</v>
      </c>
      <c r="N187" s="4">
        <f t="shared" si="3"/>
        <v>6.8848200000000004</v>
      </c>
      <c r="O187" s="4">
        <f t="shared" si="4"/>
        <v>2.4148200000000006</v>
      </c>
    </row>
    <row r="188" spans="1:15" ht="22.5" customHeight="1" x14ac:dyDescent="0.25">
      <c r="A188" s="2" t="s">
        <v>23</v>
      </c>
      <c r="B188" s="2" t="s">
        <v>24</v>
      </c>
      <c r="C188" s="3">
        <v>45108</v>
      </c>
      <c r="D188" s="3">
        <v>44933</v>
      </c>
      <c r="E188" s="2">
        <v>9450</v>
      </c>
      <c r="F188" s="2">
        <v>703</v>
      </c>
      <c r="G188" s="2">
        <v>6.87</v>
      </c>
      <c r="H188" s="6" t="s">
        <v>21</v>
      </c>
      <c r="I188" s="2">
        <v>933</v>
      </c>
      <c r="J188" s="2">
        <v>9.11</v>
      </c>
      <c r="K188" s="4">
        <f t="shared" si="0"/>
        <v>1.6239300000000001</v>
      </c>
      <c r="L188" s="4">
        <f t="shared" si="1"/>
        <v>4.2525000000000004</v>
      </c>
      <c r="M188" s="5">
        <f t="shared" si="2"/>
        <v>0.96145649999999994</v>
      </c>
      <c r="N188" s="4">
        <f t="shared" si="3"/>
        <v>6.8378865000000006</v>
      </c>
      <c r="O188" s="4">
        <f t="shared" si="4"/>
        <v>-2.2721134999999988</v>
      </c>
    </row>
    <row r="189" spans="1:15" ht="22.5" customHeight="1" x14ac:dyDescent="0.25">
      <c r="A189" s="2" t="s">
        <v>23</v>
      </c>
      <c r="B189" s="2" t="s">
        <v>24</v>
      </c>
      <c r="C189" s="3">
        <v>45139</v>
      </c>
      <c r="D189" s="3">
        <v>44934</v>
      </c>
      <c r="E189" s="2">
        <v>5869</v>
      </c>
      <c r="F189" s="2">
        <v>505</v>
      </c>
      <c r="G189" s="2">
        <v>6.47</v>
      </c>
      <c r="H189" s="6" t="s">
        <v>20</v>
      </c>
      <c r="I189" s="2">
        <v>912</v>
      </c>
      <c r="J189" s="2">
        <v>3.22</v>
      </c>
      <c r="K189" s="4">
        <f t="shared" si="0"/>
        <v>1.16655</v>
      </c>
      <c r="L189" s="4">
        <f t="shared" si="1"/>
        <v>2.6410500000000003</v>
      </c>
      <c r="M189" s="5">
        <f t="shared" si="2"/>
        <v>0.11801280000000001</v>
      </c>
      <c r="N189" s="4">
        <f t="shared" si="3"/>
        <v>3.9256128000000001</v>
      </c>
      <c r="O189" s="4">
        <f t="shared" si="4"/>
        <v>0.70561279999999993</v>
      </c>
    </row>
    <row r="190" spans="1:15" ht="22.5" customHeight="1" x14ac:dyDescent="0.25">
      <c r="A190" s="2" t="s">
        <v>23</v>
      </c>
      <c r="B190" s="2" t="s">
        <v>24</v>
      </c>
      <c r="C190" s="3">
        <v>45170</v>
      </c>
      <c r="D190" s="3">
        <v>44935</v>
      </c>
      <c r="E190" s="2">
        <v>4380</v>
      </c>
      <c r="F190" s="2">
        <v>756</v>
      </c>
      <c r="G190" s="2">
        <v>7.37</v>
      </c>
      <c r="H190" s="6" t="s">
        <v>21</v>
      </c>
      <c r="I190" s="2">
        <v>236</v>
      </c>
      <c r="J190" s="2">
        <v>1.17</v>
      </c>
      <c r="K190" s="4">
        <f t="shared" si="0"/>
        <v>1.7463600000000001</v>
      </c>
      <c r="L190" s="4">
        <f t="shared" si="1"/>
        <v>1.9710000000000001</v>
      </c>
      <c r="M190" s="5">
        <f t="shared" si="2"/>
        <v>0.26089799999999996</v>
      </c>
      <c r="N190" s="4">
        <f t="shared" si="3"/>
        <v>3.9782580000000003</v>
      </c>
      <c r="O190" s="4">
        <f t="shared" si="4"/>
        <v>2.8082580000000004</v>
      </c>
    </row>
    <row r="191" spans="1:15" ht="22.5" customHeight="1" x14ac:dyDescent="0.25">
      <c r="A191" s="2" t="s">
        <v>23</v>
      </c>
      <c r="B191" s="2" t="s">
        <v>24</v>
      </c>
      <c r="C191" s="3">
        <v>45200</v>
      </c>
      <c r="D191" s="3">
        <v>44936</v>
      </c>
      <c r="E191" s="2">
        <v>7092</v>
      </c>
      <c r="F191" s="2">
        <v>229</v>
      </c>
      <c r="G191" s="2">
        <v>9.52</v>
      </c>
      <c r="H191" s="6" t="s">
        <v>21</v>
      </c>
      <c r="I191" s="2">
        <v>731</v>
      </c>
      <c r="J191" s="2">
        <v>0.91</v>
      </c>
      <c r="K191" s="4">
        <f t="shared" si="0"/>
        <v>0.52898999999999996</v>
      </c>
      <c r="L191" s="4">
        <f t="shared" si="1"/>
        <v>3.1914000000000002</v>
      </c>
      <c r="M191" s="5">
        <f t="shared" si="2"/>
        <v>1.043868</v>
      </c>
      <c r="N191" s="4">
        <f t="shared" si="3"/>
        <v>4.7642579999999999</v>
      </c>
      <c r="O191" s="4">
        <f t="shared" si="4"/>
        <v>3.8542579999999997</v>
      </c>
    </row>
    <row r="192" spans="1:15" ht="22.5" customHeight="1" x14ac:dyDescent="0.25">
      <c r="A192" s="2" t="s">
        <v>23</v>
      </c>
      <c r="B192" s="2" t="s">
        <v>24</v>
      </c>
      <c r="C192" s="3">
        <v>45231</v>
      </c>
      <c r="D192" s="3">
        <v>44937</v>
      </c>
      <c r="E192" s="2">
        <v>9365</v>
      </c>
      <c r="F192" s="2">
        <v>324</v>
      </c>
      <c r="G192" s="2">
        <v>5.41</v>
      </c>
      <c r="H192" s="6" t="s">
        <v>17</v>
      </c>
      <c r="I192" s="2">
        <v>70</v>
      </c>
      <c r="J192" s="2">
        <v>3.52</v>
      </c>
      <c r="K192" s="4">
        <f t="shared" si="0"/>
        <v>0.74844000000000011</v>
      </c>
      <c r="L192" s="4">
        <f t="shared" si="1"/>
        <v>4.2142499999999998</v>
      </c>
      <c r="M192" s="5">
        <f t="shared" si="2"/>
        <v>1.1361000000000001E-2</v>
      </c>
      <c r="N192" s="4">
        <f t="shared" si="3"/>
        <v>4.9740510000000002</v>
      </c>
      <c r="O192" s="4">
        <f t="shared" si="4"/>
        <v>1.4540510000000002</v>
      </c>
    </row>
    <row r="193" spans="1:15" ht="22.5" customHeight="1" x14ac:dyDescent="0.25">
      <c r="A193" s="2" t="s">
        <v>23</v>
      </c>
      <c r="B193" s="2" t="s">
        <v>24</v>
      </c>
      <c r="C193" s="3">
        <v>45261</v>
      </c>
      <c r="D193" s="3">
        <v>44938</v>
      </c>
      <c r="E193" s="2">
        <v>5828</v>
      </c>
      <c r="F193" s="2">
        <v>383</v>
      </c>
      <c r="G193" s="2">
        <v>3.92</v>
      </c>
      <c r="H193" s="6" t="s">
        <v>17</v>
      </c>
      <c r="I193" s="2">
        <v>987</v>
      </c>
      <c r="J193" s="2">
        <v>3.91</v>
      </c>
      <c r="K193" s="4">
        <f t="shared" si="0"/>
        <v>0.88473000000000002</v>
      </c>
      <c r="L193" s="4">
        <f t="shared" si="1"/>
        <v>2.6225999999999998</v>
      </c>
      <c r="M193" s="5">
        <f t="shared" si="2"/>
        <v>0.11607119999999999</v>
      </c>
      <c r="N193" s="4">
        <f t="shared" si="3"/>
        <v>3.6234011999999995</v>
      </c>
      <c r="O193" s="4">
        <f t="shared" si="4"/>
        <v>-0.2865988000000006</v>
      </c>
    </row>
    <row r="194" spans="1:15" ht="22.5" customHeight="1" x14ac:dyDescent="0.25">
      <c r="A194" s="2" t="s">
        <v>23</v>
      </c>
      <c r="B194" s="2" t="s">
        <v>24</v>
      </c>
      <c r="C194" s="3">
        <v>45292</v>
      </c>
      <c r="D194" s="3">
        <v>45292</v>
      </c>
      <c r="E194" s="2">
        <v>6507</v>
      </c>
      <c r="F194" s="2">
        <v>637</v>
      </c>
      <c r="G194" s="2">
        <v>9.84</v>
      </c>
      <c r="H194" s="6" t="s">
        <v>20</v>
      </c>
      <c r="I194" s="2">
        <v>982</v>
      </c>
      <c r="J194" s="2">
        <v>9.7899999999999991</v>
      </c>
      <c r="K194" s="4">
        <f t="shared" si="0"/>
        <v>1.4714700000000001</v>
      </c>
      <c r="L194" s="4">
        <f t="shared" si="1"/>
        <v>2.92815</v>
      </c>
      <c r="M194" s="5">
        <f t="shared" si="2"/>
        <v>0.1932576</v>
      </c>
      <c r="N194" s="4">
        <f t="shared" si="3"/>
        <v>4.5928776000000004</v>
      </c>
      <c r="O194" s="4">
        <f t="shared" si="4"/>
        <v>-5.1971223999999987</v>
      </c>
    </row>
    <row r="195" spans="1:15" ht="22.5" customHeight="1" x14ac:dyDescent="0.25">
      <c r="A195" s="2" t="s">
        <v>23</v>
      </c>
      <c r="B195" s="2" t="s">
        <v>24</v>
      </c>
      <c r="C195" s="3">
        <v>45323</v>
      </c>
      <c r="D195" s="3">
        <v>45293</v>
      </c>
      <c r="E195" s="2">
        <v>6035</v>
      </c>
      <c r="F195" s="2">
        <v>1107</v>
      </c>
      <c r="G195" s="2">
        <v>9.4</v>
      </c>
      <c r="H195" s="6" t="s">
        <v>21</v>
      </c>
      <c r="I195" s="2">
        <v>115</v>
      </c>
      <c r="J195" s="2">
        <v>9.66</v>
      </c>
      <c r="K195" s="4">
        <f t="shared" si="0"/>
        <v>2.5571700000000002</v>
      </c>
      <c r="L195" s="4">
        <f t="shared" si="1"/>
        <v>2.7157499999999999</v>
      </c>
      <c r="M195" s="5">
        <f t="shared" si="2"/>
        <v>0.16215000000000002</v>
      </c>
      <c r="N195" s="4">
        <f t="shared" si="3"/>
        <v>5.4350699999999996</v>
      </c>
      <c r="O195" s="4">
        <f t="shared" si="4"/>
        <v>-4.2249300000000005</v>
      </c>
    </row>
    <row r="196" spans="1:15" ht="22.5" customHeight="1" x14ac:dyDescent="0.25">
      <c r="A196" s="2" t="s">
        <v>23</v>
      </c>
      <c r="B196" s="2" t="s">
        <v>24</v>
      </c>
      <c r="C196" s="3">
        <v>45352</v>
      </c>
      <c r="D196" s="3">
        <v>45294</v>
      </c>
      <c r="E196" s="2">
        <v>5525</v>
      </c>
      <c r="F196" s="2">
        <v>305</v>
      </c>
      <c r="G196" s="2">
        <v>4.16</v>
      </c>
      <c r="H196" s="6" t="s">
        <v>17</v>
      </c>
      <c r="I196" s="2">
        <v>243</v>
      </c>
      <c r="J196" s="2">
        <v>8.57</v>
      </c>
      <c r="K196" s="4">
        <f t="shared" si="0"/>
        <v>0.70455000000000012</v>
      </c>
      <c r="L196" s="4">
        <f t="shared" si="1"/>
        <v>2.4862500000000001</v>
      </c>
      <c r="M196" s="5">
        <f t="shared" si="2"/>
        <v>3.03264E-2</v>
      </c>
      <c r="N196" s="4">
        <f t="shared" si="3"/>
        <v>3.2211264000000002</v>
      </c>
      <c r="O196" s="4">
        <f t="shared" si="4"/>
        <v>-5.3488736000000001</v>
      </c>
    </row>
    <row r="197" spans="1:15" ht="22.5" customHeight="1" x14ac:dyDescent="0.25">
      <c r="A197" s="2" t="s">
        <v>23</v>
      </c>
      <c r="B197" s="2" t="s">
        <v>24</v>
      </c>
      <c r="C197" s="3">
        <v>45383</v>
      </c>
      <c r="D197" s="3">
        <v>45295</v>
      </c>
      <c r="E197" s="2">
        <v>4063</v>
      </c>
      <c r="F197" s="2">
        <v>572</v>
      </c>
      <c r="G197" s="2">
        <v>1.04</v>
      </c>
      <c r="H197" s="6" t="s">
        <v>20</v>
      </c>
      <c r="I197" s="2">
        <v>802</v>
      </c>
      <c r="J197" s="2">
        <v>4.7699999999999996</v>
      </c>
      <c r="K197" s="4">
        <f t="shared" si="0"/>
        <v>1.3213199999999998</v>
      </c>
      <c r="L197" s="4">
        <f t="shared" si="1"/>
        <v>1.8283500000000001</v>
      </c>
      <c r="M197" s="5">
        <f t="shared" si="2"/>
        <v>1.6681599999999998E-2</v>
      </c>
      <c r="N197" s="4">
        <f t="shared" si="3"/>
        <v>3.1663516</v>
      </c>
      <c r="O197" s="4">
        <f t="shared" si="4"/>
        <v>-1.6036483999999995</v>
      </c>
    </row>
    <row r="198" spans="1:15" ht="22.5" customHeight="1" x14ac:dyDescent="0.25">
      <c r="A198" s="2" t="s">
        <v>23</v>
      </c>
      <c r="B198" s="2" t="s">
        <v>24</v>
      </c>
      <c r="C198" s="3">
        <v>45413</v>
      </c>
      <c r="D198" s="3">
        <v>45296</v>
      </c>
      <c r="E198" s="2">
        <v>5711</v>
      </c>
      <c r="F198" s="2">
        <v>241</v>
      </c>
      <c r="G198" s="2">
        <v>1.04</v>
      </c>
      <c r="H198" s="6" t="s">
        <v>21</v>
      </c>
      <c r="I198" s="2">
        <v>990</v>
      </c>
      <c r="J198" s="2">
        <v>4.21</v>
      </c>
      <c r="K198" s="4">
        <f t="shared" si="0"/>
        <v>0.55671000000000004</v>
      </c>
      <c r="L198" s="4">
        <f t="shared" si="1"/>
        <v>2.5699500000000004</v>
      </c>
      <c r="M198" s="5">
        <f t="shared" si="2"/>
        <v>0.15443999999999999</v>
      </c>
      <c r="N198" s="4">
        <f t="shared" si="3"/>
        <v>3.2811000000000003</v>
      </c>
      <c r="O198" s="4">
        <f t="shared" si="4"/>
        <v>-0.92889999999999961</v>
      </c>
    </row>
    <row r="199" spans="1:15" ht="22.5" customHeight="1" x14ac:dyDescent="0.25">
      <c r="A199" s="2" t="s">
        <v>23</v>
      </c>
      <c r="B199" s="2" t="s">
        <v>24</v>
      </c>
      <c r="C199" s="3">
        <v>45444</v>
      </c>
      <c r="D199" s="3">
        <v>45297</v>
      </c>
      <c r="E199" s="2">
        <v>3061</v>
      </c>
      <c r="F199" s="2">
        <v>1196</v>
      </c>
      <c r="G199" s="2">
        <v>2.93</v>
      </c>
      <c r="H199" s="6" t="s">
        <v>17</v>
      </c>
      <c r="I199" s="2">
        <v>491</v>
      </c>
      <c r="J199" s="2">
        <v>4.01</v>
      </c>
      <c r="K199" s="4">
        <f t="shared" si="0"/>
        <v>2.7627600000000001</v>
      </c>
      <c r="L199" s="4">
        <f t="shared" si="1"/>
        <v>1.3774500000000001</v>
      </c>
      <c r="M199" s="5">
        <f t="shared" si="2"/>
        <v>4.3158899999999993E-2</v>
      </c>
      <c r="N199" s="4">
        <f t="shared" si="3"/>
        <v>4.1833688999999996</v>
      </c>
      <c r="O199" s="4">
        <f t="shared" si="4"/>
        <v>0.17336889999999983</v>
      </c>
    </row>
    <row r="200" spans="1:15" ht="22.5" customHeight="1" x14ac:dyDescent="0.25">
      <c r="A200" s="2" t="s">
        <v>23</v>
      </c>
      <c r="B200" s="2" t="s">
        <v>24</v>
      </c>
      <c r="C200" s="3">
        <v>45474</v>
      </c>
      <c r="D200" s="3">
        <v>45298</v>
      </c>
      <c r="E200" s="2">
        <v>7753</v>
      </c>
      <c r="F200" s="2">
        <v>416</v>
      </c>
      <c r="G200" s="2">
        <v>8.7200000000000006</v>
      </c>
      <c r="H200" s="6" t="s">
        <v>21</v>
      </c>
      <c r="I200" s="2">
        <v>334</v>
      </c>
      <c r="J200" s="2">
        <v>0.48</v>
      </c>
      <c r="K200" s="4">
        <f t="shared" si="0"/>
        <v>0.96096000000000004</v>
      </c>
      <c r="L200" s="4">
        <f t="shared" si="1"/>
        <v>3.4888499999999998</v>
      </c>
      <c r="M200" s="5">
        <f t="shared" si="2"/>
        <v>0.43687200000000009</v>
      </c>
      <c r="N200" s="4">
        <f t="shared" si="3"/>
        <v>4.8866819999999995</v>
      </c>
      <c r="O200" s="4">
        <f t="shared" si="4"/>
        <v>4.406682</v>
      </c>
    </row>
    <row r="201" spans="1:15" ht="22.5" customHeight="1" x14ac:dyDescent="0.25">
      <c r="A201" s="2" t="s">
        <v>23</v>
      </c>
      <c r="B201" s="2" t="s">
        <v>24</v>
      </c>
      <c r="C201" s="3">
        <v>45505</v>
      </c>
      <c r="D201" s="3">
        <v>45299</v>
      </c>
      <c r="E201" s="2">
        <v>7745</v>
      </c>
      <c r="F201" s="2">
        <v>333</v>
      </c>
      <c r="G201" s="2">
        <v>7.63</v>
      </c>
      <c r="H201" s="6" t="s">
        <v>17</v>
      </c>
      <c r="I201" s="2">
        <v>878</v>
      </c>
      <c r="J201" s="2">
        <v>7.69</v>
      </c>
      <c r="K201" s="4">
        <f t="shared" si="0"/>
        <v>0.76922999999999997</v>
      </c>
      <c r="L201" s="4">
        <f t="shared" si="1"/>
        <v>3.4852500000000002</v>
      </c>
      <c r="M201" s="5">
        <f t="shared" si="2"/>
        <v>0.20097419999999999</v>
      </c>
      <c r="N201" s="4">
        <f t="shared" si="3"/>
        <v>4.4554542000000001</v>
      </c>
      <c r="O201" s="4">
        <f t="shared" si="4"/>
        <v>-3.2345458000000002</v>
      </c>
    </row>
    <row r="202" spans="1:15" ht="22.5" customHeight="1" x14ac:dyDescent="0.25">
      <c r="A202" s="2" t="s">
        <v>23</v>
      </c>
      <c r="B202" s="2" t="s">
        <v>24</v>
      </c>
      <c r="C202" s="3">
        <v>45536</v>
      </c>
      <c r="D202" s="3">
        <v>45300</v>
      </c>
      <c r="E202" s="2">
        <v>5173</v>
      </c>
      <c r="F202" s="2">
        <v>1163</v>
      </c>
      <c r="G202" s="2">
        <v>3.14</v>
      </c>
      <c r="H202" s="6" t="s">
        <v>17</v>
      </c>
      <c r="I202" s="2">
        <v>641</v>
      </c>
      <c r="J202" s="2">
        <v>1.6</v>
      </c>
      <c r="K202" s="4">
        <f t="shared" si="0"/>
        <v>2.6865300000000003</v>
      </c>
      <c r="L202" s="4">
        <f t="shared" si="1"/>
        <v>2.3278499999999998</v>
      </c>
      <c r="M202" s="5">
        <f t="shared" si="2"/>
        <v>6.0382200000000004E-2</v>
      </c>
      <c r="N202" s="4">
        <f t="shared" si="3"/>
        <v>5.0747622000000003</v>
      </c>
      <c r="O202" s="4">
        <f t="shared" si="4"/>
        <v>3.4747622000000002</v>
      </c>
    </row>
    <row r="203" spans="1:15" ht="22.5" customHeight="1" x14ac:dyDescent="0.25">
      <c r="A203" s="2" t="s">
        <v>23</v>
      </c>
      <c r="B203" s="2" t="s">
        <v>24</v>
      </c>
      <c r="C203" s="3">
        <v>45566</v>
      </c>
      <c r="D203" s="3">
        <v>45301</v>
      </c>
      <c r="E203" s="2">
        <v>3195</v>
      </c>
      <c r="F203" s="2">
        <v>955</v>
      </c>
      <c r="G203" s="2">
        <v>3.46</v>
      </c>
      <c r="H203" s="6" t="s">
        <v>21</v>
      </c>
      <c r="I203" s="2">
        <v>986</v>
      </c>
      <c r="J203" s="2">
        <v>3.64</v>
      </c>
      <c r="K203" s="4">
        <f t="shared" si="0"/>
        <v>2.2060500000000003</v>
      </c>
      <c r="L203" s="4">
        <f t="shared" si="1"/>
        <v>1.4377500000000001</v>
      </c>
      <c r="M203" s="5">
        <f t="shared" si="2"/>
        <v>0.51173400000000002</v>
      </c>
      <c r="N203" s="4">
        <f t="shared" si="3"/>
        <v>4.1555340000000003</v>
      </c>
      <c r="O203" s="4">
        <f t="shared" si="4"/>
        <v>0.51553400000000016</v>
      </c>
    </row>
    <row r="204" spans="1:15" ht="22.5" customHeight="1" x14ac:dyDescent="0.25">
      <c r="A204" s="2" t="s">
        <v>23</v>
      </c>
      <c r="B204" s="2" t="s">
        <v>24</v>
      </c>
      <c r="C204" s="3">
        <v>45597</v>
      </c>
      <c r="D204" s="3">
        <v>45302</v>
      </c>
      <c r="E204" s="2">
        <v>9418</v>
      </c>
      <c r="F204" s="2">
        <v>1170</v>
      </c>
      <c r="G204" s="2">
        <v>7.93</v>
      </c>
      <c r="H204" s="6" t="s">
        <v>21</v>
      </c>
      <c r="I204" s="2">
        <v>186</v>
      </c>
      <c r="J204" s="2">
        <v>4.42</v>
      </c>
      <c r="K204" s="4">
        <f t="shared" si="0"/>
        <v>2.7027000000000001</v>
      </c>
      <c r="L204" s="4">
        <f t="shared" si="1"/>
        <v>4.2381000000000002</v>
      </c>
      <c r="M204" s="5">
        <f t="shared" si="2"/>
        <v>0.221247</v>
      </c>
      <c r="N204" s="4">
        <f t="shared" si="3"/>
        <v>7.1620470000000003</v>
      </c>
      <c r="O204" s="4">
        <f t="shared" si="4"/>
        <v>2.7420470000000003</v>
      </c>
    </row>
    <row r="205" spans="1:15" ht="22.5" customHeight="1" x14ac:dyDescent="0.25">
      <c r="A205" s="2" t="s">
        <v>23</v>
      </c>
      <c r="B205" s="2" t="s">
        <v>24</v>
      </c>
      <c r="C205" s="3">
        <v>45627</v>
      </c>
      <c r="D205" s="3">
        <v>45303</v>
      </c>
      <c r="E205" s="2">
        <v>3709</v>
      </c>
      <c r="F205" s="2">
        <v>568</v>
      </c>
      <c r="G205" s="2">
        <v>5.54</v>
      </c>
      <c r="H205" s="6" t="s">
        <v>21</v>
      </c>
      <c r="I205" s="2">
        <v>379</v>
      </c>
      <c r="J205" s="2">
        <v>8.6999999999999993</v>
      </c>
      <c r="K205" s="4">
        <f t="shared" si="0"/>
        <v>1.3120799999999999</v>
      </c>
      <c r="L205" s="4">
        <f t="shared" si="1"/>
        <v>1.6690499999999999</v>
      </c>
      <c r="M205" s="5">
        <f t="shared" si="2"/>
        <v>0.31494900000000003</v>
      </c>
      <c r="N205" s="4">
        <f t="shared" si="3"/>
        <v>3.2960789999999998</v>
      </c>
      <c r="O205" s="4">
        <f t="shared" si="4"/>
        <v>-5.4039209999999995</v>
      </c>
    </row>
    <row r="206" spans="1:15" ht="22.5" customHeight="1" x14ac:dyDescent="0.25">
      <c r="A206" s="2" t="s">
        <v>23</v>
      </c>
      <c r="B206" s="2" t="s">
        <v>24</v>
      </c>
      <c r="C206" s="3">
        <v>45658</v>
      </c>
      <c r="D206" s="3">
        <v>45658</v>
      </c>
      <c r="E206" s="2">
        <v>7005</v>
      </c>
      <c r="F206" s="2">
        <v>611</v>
      </c>
      <c r="G206" s="2">
        <v>3.48</v>
      </c>
      <c r="H206" s="6" t="s">
        <v>20</v>
      </c>
      <c r="I206" s="2">
        <v>794</v>
      </c>
      <c r="J206" s="2">
        <v>5.81</v>
      </c>
      <c r="K206" s="4">
        <f t="shared" si="0"/>
        <v>1.4114100000000001</v>
      </c>
      <c r="L206" s="4">
        <f t="shared" si="1"/>
        <v>3.15225</v>
      </c>
      <c r="M206" s="5">
        <f t="shared" si="2"/>
        <v>5.5262399999999996E-2</v>
      </c>
      <c r="N206" s="4">
        <f t="shared" si="3"/>
        <v>4.6189224000000006</v>
      </c>
      <c r="O206" s="4">
        <f t="shared" si="4"/>
        <v>-1.191077599999999</v>
      </c>
    </row>
    <row r="207" spans="1:15" ht="22.5" customHeight="1" x14ac:dyDescent="0.25">
      <c r="A207" s="2" t="s">
        <v>23</v>
      </c>
      <c r="B207" s="2" t="s">
        <v>24</v>
      </c>
      <c r="C207" s="3">
        <v>45689</v>
      </c>
      <c r="D207" s="3">
        <v>45659</v>
      </c>
      <c r="E207" s="2">
        <v>3444</v>
      </c>
      <c r="F207" s="2">
        <v>321</v>
      </c>
      <c r="G207" s="2">
        <v>9.4499999999999993</v>
      </c>
      <c r="H207" s="6" t="s">
        <v>18</v>
      </c>
      <c r="I207" s="2">
        <v>864</v>
      </c>
      <c r="J207" s="2">
        <v>7.11</v>
      </c>
      <c r="K207" s="4">
        <f t="shared" si="0"/>
        <v>0.74151</v>
      </c>
      <c r="L207" s="4">
        <f t="shared" si="1"/>
        <v>1.5497999999999998</v>
      </c>
      <c r="M207" s="5">
        <f t="shared" si="2"/>
        <v>4.8988799999999992</v>
      </c>
      <c r="N207" s="4">
        <f t="shared" si="3"/>
        <v>7.1901899999999994</v>
      </c>
      <c r="O207" s="4">
        <f t="shared" si="4"/>
        <v>8.0189999999999095E-2</v>
      </c>
    </row>
    <row r="208" spans="1:15" ht="22.5" customHeight="1" x14ac:dyDescent="0.25">
      <c r="A208" s="2" t="s">
        <v>23</v>
      </c>
      <c r="B208" s="2" t="s">
        <v>24</v>
      </c>
      <c r="C208" s="3">
        <v>45717</v>
      </c>
      <c r="D208" s="3">
        <v>45660</v>
      </c>
      <c r="E208" s="2">
        <v>9132</v>
      </c>
      <c r="F208" s="2">
        <v>963</v>
      </c>
      <c r="G208" s="2">
        <v>1.59</v>
      </c>
      <c r="H208" s="6" t="s">
        <v>21</v>
      </c>
      <c r="I208" s="2">
        <v>357</v>
      </c>
      <c r="J208" s="2">
        <v>9.69</v>
      </c>
      <c r="K208" s="4">
        <f t="shared" si="0"/>
        <v>2.2245300000000001</v>
      </c>
      <c r="L208" s="4">
        <f t="shared" si="1"/>
        <v>4.1094000000000008</v>
      </c>
      <c r="M208" s="5">
        <f t="shared" si="2"/>
        <v>8.5144499999999998E-2</v>
      </c>
      <c r="N208" s="4">
        <f t="shared" si="3"/>
        <v>6.4190745000000007</v>
      </c>
      <c r="O208" s="4">
        <f t="shared" si="4"/>
        <v>-3.2709254999999988</v>
      </c>
    </row>
    <row r="209" spans="1:15" ht="22.5" customHeight="1" x14ac:dyDescent="0.25">
      <c r="A209" s="2" t="s">
        <v>23</v>
      </c>
      <c r="B209" s="2" t="s">
        <v>24</v>
      </c>
      <c r="C209" s="3">
        <v>45748</v>
      </c>
      <c r="D209" s="3">
        <v>45661</v>
      </c>
      <c r="E209" s="2">
        <v>6890</v>
      </c>
      <c r="F209" s="2">
        <v>288</v>
      </c>
      <c r="G209" s="2">
        <v>8.85</v>
      </c>
      <c r="H209" s="6" t="s">
        <v>20</v>
      </c>
      <c r="I209" s="2">
        <v>748</v>
      </c>
      <c r="J209" s="2">
        <v>9.76</v>
      </c>
      <c r="K209" s="4">
        <f t="shared" si="0"/>
        <v>0.66527999999999998</v>
      </c>
      <c r="L209" s="4">
        <f t="shared" si="1"/>
        <v>3.1004999999999998</v>
      </c>
      <c r="M209" s="5">
        <f t="shared" si="2"/>
        <v>0.13239600000000001</v>
      </c>
      <c r="N209" s="4">
        <f t="shared" si="3"/>
        <v>3.8981759999999999</v>
      </c>
      <c r="O209" s="4">
        <f t="shared" si="4"/>
        <v>-5.8618240000000004</v>
      </c>
    </row>
    <row r="210" spans="1:15" ht="22.5" customHeight="1" x14ac:dyDescent="0.25">
      <c r="A210" s="2" t="s">
        <v>23</v>
      </c>
      <c r="B210" s="2" t="s">
        <v>24</v>
      </c>
      <c r="C210" s="3">
        <v>45778</v>
      </c>
      <c r="D210" s="3">
        <v>45662</v>
      </c>
      <c r="E210" s="2">
        <v>7464</v>
      </c>
      <c r="F210" s="2">
        <v>430</v>
      </c>
      <c r="G210" s="2">
        <v>2.59</v>
      </c>
      <c r="H210" s="6" t="s">
        <v>17</v>
      </c>
      <c r="I210" s="2">
        <v>516</v>
      </c>
      <c r="J210" s="2">
        <v>0.77</v>
      </c>
      <c r="K210" s="4">
        <f t="shared" si="0"/>
        <v>0.99330000000000007</v>
      </c>
      <c r="L210" s="4">
        <f t="shared" si="1"/>
        <v>3.3588</v>
      </c>
      <c r="M210" s="5">
        <f t="shared" si="2"/>
        <v>4.0093199999999996E-2</v>
      </c>
      <c r="N210" s="4">
        <f t="shared" si="3"/>
        <v>4.3921932000000004</v>
      </c>
      <c r="O210" s="4">
        <f t="shared" si="4"/>
        <v>3.6221932000000003</v>
      </c>
    </row>
    <row r="211" spans="1:15" ht="22.5" customHeight="1" x14ac:dyDescent="0.25">
      <c r="A211" s="2" t="s">
        <v>23</v>
      </c>
      <c r="B211" s="2" t="s">
        <v>24</v>
      </c>
      <c r="C211" s="3">
        <v>45809</v>
      </c>
      <c r="D211" s="3">
        <v>45663</v>
      </c>
      <c r="E211" s="2">
        <v>5074</v>
      </c>
      <c r="F211" s="2">
        <v>1020</v>
      </c>
      <c r="G211" s="2">
        <v>7.16</v>
      </c>
      <c r="H211" s="6" t="s">
        <v>20</v>
      </c>
      <c r="I211" s="2">
        <v>226</v>
      </c>
      <c r="J211" s="2">
        <v>9.5</v>
      </c>
      <c r="K211" s="4">
        <f t="shared" si="0"/>
        <v>2.3562000000000003</v>
      </c>
      <c r="L211" s="4">
        <f t="shared" si="1"/>
        <v>2.2833000000000001</v>
      </c>
      <c r="M211" s="5">
        <f t="shared" si="2"/>
        <v>3.2363200000000009E-2</v>
      </c>
      <c r="N211" s="4">
        <f t="shared" si="3"/>
        <v>4.6718631999999998</v>
      </c>
      <c r="O211" s="4">
        <f t="shared" si="4"/>
        <v>-4.8281368000000002</v>
      </c>
    </row>
    <row r="212" spans="1:15" ht="22.5" customHeight="1" x14ac:dyDescent="0.25">
      <c r="A212" s="2" t="s">
        <v>23</v>
      </c>
      <c r="B212" s="2" t="s">
        <v>24</v>
      </c>
      <c r="C212" s="3">
        <v>45839</v>
      </c>
      <c r="D212" s="3">
        <v>45664</v>
      </c>
      <c r="E212" s="2">
        <v>5990</v>
      </c>
      <c r="F212" s="2">
        <v>651</v>
      </c>
      <c r="G212" s="2">
        <v>6.61</v>
      </c>
      <c r="H212" s="6" t="s">
        <v>20</v>
      </c>
      <c r="I212" s="2">
        <v>118</v>
      </c>
      <c r="J212" s="2">
        <v>9.6199999999999992</v>
      </c>
      <c r="K212" s="4">
        <f t="shared" si="0"/>
        <v>1.5038099999999999</v>
      </c>
      <c r="L212" s="4">
        <f t="shared" si="1"/>
        <v>2.6955</v>
      </c>
      <c r="M212" s="5">
        <f t="shared" si="2"/>
        <v>1.55996E-2</v>
      </c>
      <c r="N212" s="4">
        <f t="shared" si="3"/>
        <v>4.2149095999999995</v>
      </c>
      <c r="O212" s="4">
        <f t="shared" si="4"/>
        <v>-5.4050903999999997</v>
      </c>
    </row>
    <row r="213" spans="1:15" ht="22.5" customHeight="1" x14ac:dyDescent="0.25">
      <c r="A213" s="2" t="s">
        <v>23</v>
      </c>
      <c r="B213" s="2" t="s">
        <v>24</v>
      </c>
      <c r="C213" s="3">
        <v>45870</v>
      </c>
      <c r="D213" s="3">
        <v>45665</v>
      </c>
      <c r="E213" s="2">
        <v>4227</v>
      </c>
      <c r="F213" s="2">
        <v>985</v>
      </c>
      <c r="G213" s="2">
        <v>8.85</v>
      </c>
      <c r="H213" s="6" t="s">
        <v>20</v>
      </c>
      <c r="I213" s="2">
        <v>376</v>
      </c>
      <c r="J213" s="2">
        <v>8.2100000000000009</v>
      </c>
      <c r="K213" s="4">
        <f t="shared" si="0"/>
        <v>2.27535</v>
      </c>
      <c r="L213" s="4">
        <f t="shared" si="1"/>
        <v>1.90215</v>
      </c>
      <c r="M213" s="5">
        <f t="shared" si="2"/>
        <v>6.6552E-2</v>
      </c>
      <c r="N213" s="4">
        <f t="shared" si="3"/>
        <v>4.2440519999999999</v>
      </c>
      <c r="O213" s="4">
        <f t="shared" si="4"/>
        <v>-3.9659480000000009</v>
      </c>
    </row>
    <row r="214" spans="1:15" ht="22.5" customHeight="1" x14ac:dyDescent="0.25">
      <c r="A214" s="2" t="s">
        <v>23</v>
      </c>
      <c r="B214" s="2" t="s">
        <v>24</v>
      </c>
      <c r="C214" s="3">
        <v>45901</v>
      </c>
      <c r="D214" s="3">
        <v>45666</v>
      </c>
      <c r="E214" s="2">
        <v>4581</v>
      </c>
      <c r="F214" s="2">
        <v>440</v>
      </c>
      <c r="G214" s="2">
        <v>2.4</v>
      </c>
      <c r="H214" s="6" t="s">
        <v>21</v>
      </c>
      <c r="I214" s="2">
        <v>123</v>
      </c>
      <c r="J214" s="2">
        <v>5.33</v>
      </c>
      <c r="K214" s="4">
        <f t="shared" si="0"/>
        <v>1.0164</v>
      </c>
      <c r="L214" s="4">
        <f t="shared" si="1"/>
        <v>2.0614500000000002</v>
      </c>
      <c r="M214" s="5">
        <f t="shared" si="2"/>
        <v>4.4279999999999993E-2</v>
      </c>
      <c r="N214" s="4">
        <f t="shared" si="3"/>
        <v>3.1221300000000003</v>
      </c>
      <c r="O214" s="4">
        <f t="shared" si="4"/>
        <v>-2.2078699999999998</v>
      </c>
    </row>
    <row r="215" spans="1:15" ht="22.5" customHeight="1" x14ac:dyDescent="0.25">
      <c r="A215" s="2" t="s">
        <v>23</v>
      </c>
      <c r="B215" s="2" t="s">
        <v>24</v>
      </c>
      <c r="C215" s="3">
        <v>45931</v>
      </c>
      <c r="D215" s="3">
        <v>45667</v>
      </c>
      <c r="E215" s="2">
        <v>9761</v>
      </c>
      <c r="F215" s="2">
        <v>867</v>
      </c>
      <c r="G215" s="2">
        <v>8.83</v>
      </c>
      <c r="H215" s="6" t="s">
        <v>20</v>
      </c>
      <c r="I215" s="2">
        <v>323</v>
      </c>
      <c r="J215" s="2">
        <v>9.01</v>
      </c>
      <c r="K215" s="4">
        <f t="shared" si="0"/>
        <v>2.0027699999999999</v>
      </c>
      <c r="L215" s="4">
        <f t="shared" si="1"/>
        <v>4.3924500000000002</v>
      </c>
      <c r="M215" s="5">
        <f t="shared" si="2"/>
        <v>5.7041800000000004E-2</v>
      </c>
      <c r="N215" s="4">
        <f t="shared" si="3"/>
        <v>6.4522618000000005</v>
      </c>
      <c r="O215" s="4">
        <f t="shared" si="4"/>
        <v>-2.5577381999999993</v>
      </c>
    </row>
    <row r="216" spans="1:15" ht="22.5" customHeight="1" x14ac:dyDescent="0.25">
      <c r="A216" s="2" t="s">
        <v>23</v>
      </c>
      <c r="B216" s="2" t="s">
        <v>24</v>
      </c>
      <c r="C216" s="3">
        <v>45962</v>
      </c>
      <c r="D216" s="3">
        <v>45668</v>
      </c>
      <c r="E216" s="2">
        <v>4365</v>
      </c>
      <c r="F216" s="2">
        <v>478</v>
      </c>
      <c r="G216" s="2">
        <v>3.37</v>
      </c>
      <c r="H216" s="6" t="s">
        <v>18</v>
      </c>
      <c r="I216" s="2">
        <v>293</v>
      </c>
      <c r="J216" s="2">
        <v>6.14</v>
      </c>
      <c r="K216" s="4">
        <f t="shared" si="0"/>
        <v>1.1041800000000002</v>
      </c>
      <c r="L216" s="4">
        <f t="shared" si="1"/>
        <v>1.9642500000000001</v>
      </c>
      <c r="M216" s="5">
        <f t="shared" si="2"/>
        <v>0.59244599999999992</v>
      </c>
      <c r="N216" s="4">
        <f t="shared" si="3"/>
        <v>3.660876</v>
      </c>
      <c r="O216" s="4">
        <f t="shared" si="4"/>
        <v>-2.4791239999999997</v>
      </c>
    </row>
    <row r="217" spans="1:15" ht="22.5" customHeight="1" x14ac:dyDescent="0.25">
      <c r="A217" s="2" t="s">
        <v>23</v>
      </c>
      <c r="B217" s="2" t="s">
        <v>24</v>
      </c>
      <c r="C217" s="3">
        <v>45992</v>
      </c>
      <c r="D217" s="3">
        <v>45669</v>
      </c>
      <c r="E217" s="2">
        <v>9902</v>
      </c>
      <c r="F217" s="2">
        <v>1006</v>
      </c>
      <c r="G217" s="2">
        <v>2.0699999999999998</v>
      </c>
      <c r="H217" s="6" t="s">
        <v>21</v>
      </c>
      <c r="I217" s="2">
        <v>62</v>
      </c>
      <c r="J217" s="2">
        <v>6.51</v>
      </c>
      <c r="K217" s="4">
        <f t="shared" si="0"/>
        <v>2.3238600000000003</v>
      </c>
      <c r="L217" s="4">
        <f t="shared" si="1"/>
        <v>4.4559000000000006</v>
      </c>
      <c r="M217" s="5">
        <f t="shared" si="2"/>
        <v>1.9250999999999997E-2</v>
      </c>
      <c r="N217" s="4">
        <f t="shared" si="3"/>
        <v>6.799011000000001</v>
      </c>
      <c r="O217" s="4">
        <f t="shared" si="4"/>
        <v>0.28901100000000124</v>
      </c>
    </row>
    <row r="218" spans="1:15" ht="22.5" customHeight="1" x14ac:dyDescent="0.25">
      <c r="A218" s="2" t="s">
        <v>23</v>
      </c>
      <c r="B218" s="2" t="s">
        <v>25</v>
      </c>
      <c r="C218" s="3">
        <v>43831</v>
      </c>
      <c r="D218" s="3">
        <v>43831</v>
      </c>
      <c r="E218" s="2">
        <v>3598</v>
      </c>
      <c r="F218" s="2">
        <v>734</v>
      </c>
      <c r="G218" s="2">
        <v>8.1199999999999992</v>
      </c>
      <c r="H218" s="6" t="s">
        <v>17</v>
      </c>
      <c r="I218" s="2">
        <v>997</v>
      </c>
      <c r="J218" s="2">
        <v>5.34</v>
      </c>
      <c r="K218" s="4">
        <f t="shared" si="0"/>
        <v>1.69554</v>
      </c>
      <c r="L218" s="4">
        <f t="shared" si="1"/>
        <v>1.6191000000000002</v>
      </c>
      <c r="M218" s="5">
        <f t="shared" si="2"/>
        <v>0.24286919999999998</v>
      </c>
      <c r="N218" s="4">
        <f t="shared" si="3"/>
        <v>3.5575092000000001</v>
      </c>
      <c r="O218" s="4">
        <f t="shared" si="4"/>
        <v>-1.7824907999999997</v>
      </c>
    </row>
    <row r="219" spans="1:15" ht="22.5" customHeight="1" x14ac:dyDescent="0.25">
      <c r="A219" s="2" t="s">
        <v>23</v>
      </c>
      <c r="B219" s="2" t="s">
        <v>25</v>
      </c>
      <c r="C219" s="3">
        <v>43862</v>
      </c>
      <c r="D219" s="3">
        <v>43832</v>
      </c>
      <c r="E219" s="2">
        <v>4416</v>
      </c>
      <c r="F219" s="2">
        <v>959</v>
      </c>
      <c r="G219" s="2">
        <v>4.92</v>
      </c>
      <c r="H219" s="6" t="s">
        <v>20</v>
      </c>
      <c r="I219" s="2">
        <v>337</v>
      </c>
      <c r="J219" s="2">
        <v>1.76</v>
      </c>
      <c r="K219" s="4">
        <f t="shared" si="0"/>
        <v>2.21529</v>
      </c>
      <c r="L219" s="4">
        <f t="shared" si="1"/>
        <v>1.9872000000000001</v>
      </c>
      <c r="M219" s="5">
        <f t="shared" si="2"/>
        <v>3.3160800000000004E-2</v>
      </c>
      <c r="N219" s="4">
        <f t="shared" si="3"/>
        <v>4.2356508000000002</v>
      </c>
      <c r="O219" s="4">
        <f t="shared" si="4"/>
        <v>2.4756508000000004</v>
      </c>
    </row>
    <row r="220" spans="1:15" ht="22.5" customHeight="1" x14ac:dyDescent="0.25">
      <c r="A220" s="2" t="s">
        <v>23</v>
      </c>
      <c r="B220" s="2" t="s">
        <v>25</v>
      </c>
      <c r="C220" s="3">
        <v>43891</v>
      </c>
      <c r="D220" s="3">
        <v>43833</v>
      </c>
      <c r="E220" s="2">
        <v>3154</v>
      </c>
      <c r="F220" s="2">
        <v>252</v>
      </c>
      <c r="G220" s="2">
        <v>9.4499999999999993</v>
      </c>
      <c r="H220" s="6" t="s">
        <v>17</v>
      </c>
      <c r="I220" s="2">
        <v>361</v>
      </c>
      <c r="J220" s="2">
        <v>4.76</v>
      </c>
      <c r="K220" s="4">
        <f t="shared" si="0"/>
        <v>0.58211999999999997</v>
      </c>
      <c r="L220" s="4">
        <f t="shared" si="1"/>
        <v>1.4193</v>
      </c>
      <c r="M220" s="5">
        <f t="shared" si="2"/>
        <v>0.10234349999999999</v>
      </c>
      <c r="N220" s="4">
        <f t="shared" si="3"/>
        <v>2.1037634999999999</v>
      </c>
      <c r="O220" s="4">
        <f t="shared" si="4"/>
        <v>-2.6562364999999999</v>
      </c>
    </row>
    <row r="221" spans="1:15" ht="22.5" customHeight="1" x14ac:dyDescent="0.25">
      <c r="A221" s="2" t="s">
        <v>23</v>
      </c>
      <c r="B221" s="2" t="s">
        <v>25</v>
      </c>
      <c r="C221" s="3">
        <v>43922</v>
      </c>
      <c r="D221" s="3">
        <v>43834</v>
      </c>
      <c r="E221" s="2">
        <v>7720</v>
      </c>
      <c r="F221" s="2">
        <v>266</v>
      </c>
      <c r="G221" s="2">
        <v>7.88</v>
      </c>
      <c r="H221" s="6" t="s">
        <v>17</v>
      </c>
      <c r="I221" s="2">
        <v>235</v>
      </c>
      <c r="J221" s="2">
        <v>5.41</v>
      </c>
      <c r="K221" s="4">
        <f t="shared" si="0"/>
        <v>0.61446000000000001</v>
      </c>
      <c r="L221" s="4">
        <f t="shared" si="1"/>
        <v>3.4740000000000002</v>
      </c>
      <c r="M221" s="5">
        <f t="shared" si="2"/>
        <v>5.5553999999999992E-2</v>
      </c>
      <c r="N221" s="4">
        <f t="shared" si="3"/>
        <v>4.1440140000000003</v>
      </c>
      <c r="O221" s="4">
        <f t="shared" si="4"/>
        <v>-1.2659859999999998</v>
      </c>
    </row>
    <row r="222" spans="1:15" ht="22.5" customHeight="1" x14ac:dyDescent="0.25">
      <c r="A222" s="2" t="s">
        <v>23</v>
      </c>
      <c r="B222" s="2" t="s">
        <v>25</v>
      </c>
      <c r="C222" s="3">
        <v>43952</v>
      </c>
      <c r="D222" s="3">
        <v>43835</v>
      </c>
      <c r="E222" s="2">
        <v>6615</v>
      </c>
      <c r="F222" s="2">
        <v>339</v>
      </c>
      <c r="G222" s="2">
        <v>4.42</v>
      </c>
      <c r="H222" s="6" t="s">
        <v>20</v>
      </c>
      <c r="I222" s="2">
        <v>283</v>
      </c>
      <c r="J222" s="2">
        <v>4.45</v>
      </c>
      <c r="K222" s="4">
        <f t="shared" si="0"/>
        <v>0.78309000000000006</v>
      </c>
      <c r="L222" s="4">
        <f t="shared" si="1"/>
        <v>2.97675</v>
      </c>
      <c r="M222" s="5">
        <f t="shared" si="2"/>
        <v>2.50172E-2</v>
      </c>
      <c r="N222" s="4">
        <f t="shared" si="3"/>
        <v>3.7848572000000003</v>
      </c>
      <c r="O222" s="4">
        <f t="shared" si="4"/>
        <v>-0.66514279999999992</v>
      </c>
    </row>
    <row r="223" spans="1:15" ht="22.5" customHeight="1" x14ac:dyDescent="0.25">
      <c r="A223" s="2" t="s">
        <v>23</v>
      </c>
      <c r="B223" s="2" t="s">
        <v>25</v>
      </c>
      <c r="C223" s="3">
        <v>43983</v>
      </c>
      <c r="D223" s="3">
        <v>43836</v>
      </c>
      <c r="E223" s="2">
        <v>3946</v>
      </c>
      <c r="F223" s="2">
        <v>456</v>
      </c>
      <c r="G223" s="2">
        <v>7.91</v>
      </c>
      <c r="H223" s="6" t="s">
        <v>21</v>
      </c>
      <c r="I223" s="2">
        <v>684</v>
      </c>
      <c r="J223" s="2">
        <v>6.1</v>
      </c>
      <c r="K223" s="4">
        <f t="shared" si="0"/>
        <v>1.0533600000000001</v>
      </c>
      <c r="L223" s="4">
        <f t="shared" si="1"/>
        <v>1.7757000000000001</v>
      </c>
      <c r="M223" s="5">
        <f t="shared" si="2"/>
        <v>0.8115659999999999</v>
      </c>
      <c r="N223" s="4">
        <f t="shared" si="3"/>
        <v>3.6406260000000001</v>
      </c>
      <c r="O223" s="4">
        <f t="shared" si="4"/>
        <v>-2.4593739999999995</v>
      </c>
    </row>
    <row r="224" spans="1:15" ht="22.5" customHeight="1" x14ac:dyDescent="0.25">
      <c r="A224" s="2" t="s">
        <v>23</v>
      </c>
      <c r="B224" s="2" t="s">
        <v>25</v>
      </c>
      <c r="C224" s="3">
        <v>44013</v>
      </c>
      <c r="D224" s="3">
        <v>43837</v>
      </c>
      <c r="E224" s="2">
        <v>8559</v>
      </c>
      <c r="F224" s="2">
        <v>483</v>
      </c>
      <c r="G224" s="2">
        <v>7.83</v>
      </c>
      <c r="H224" s="6" t="s">
        <v>21</v>
      </c>
      <c r="I224" s="2">
        <v>116</v>
      </c>
      <c r="J224" s="2">
        <v>4.6399999999999997</v>
      </c>
      <c r="K224" s="4">
        <f t="shared" si="0"/>
        <v>1.1157300000000001</v>
      </c>
      <c r="L224" s="4">
        <f t="shared" si="1"/>
        <v>3.85155</v>
      </c>
      <c r="M224" s="5">
        <f t="shared" si="2"/>
        <v>0.136242</v>
      </c>
      <c r="N224" s="4">
        <f t="shared" si="3"/>
        <v>5.1035220000000008</v>
      </c>
      <c r="O224" s="4">
        <f t="shared" si="4"/>
        <v>0.4635220000000011</v>
      </c>
    </row>
    <row r="225" spans="1:15" ht="22.5" customHeight="1" x14ac:dyDescent="0.25">
      <c r="A225" s="2" t="s">
        <v>23</v>
      </c>
      <c r="B225" s="2" t="s">
        <v>25</v>
      </c>
      <c r="C225" s="3">
        <v>44044</v>
      </c>
      <c r="D225" s="3">
        <v>43838</v>
      </c>
      <c r="E225" s="2">
        <v>8396</v>
      </c>
      <c r="F225" s="2">
        <v>970</v>
      </c>
      <c r="G225" s="2">
        <v>8.9</v>
      </c>
      <c r="H225" s="6" t="s">
        <v>17</v>
      </c>
      <c r="I225" s="2">
        <v>888</v>
      </c>
      <c r="J225" s="2">
        <v>4.6100000000000003</v>
      </c>
      <c r="K225" s="4">
        <f t="shared" si="0"/>
        <v>2.2407000000000004</v>
      </c>
      <c r="L225" s="4">
        <f t="shared" si="1"/>
        <v>3.7782000000000004</v>
      </c>
      <c r="M225" s="5">
        <f t="shared" si="2"/>
        <v>0.237096</v>
      </c>
      <c r="N225" s="4">
        <f t="shared" si="3"/>
        <v>6.2559960000000006</v>
      </c>
      <c r="O225" s="4">
        <f t="shared" si="4"/>
        <v>1.6459960000000002</v>
      </c>
    </row>
    <row r="226" spans="1:15" ht="22.5" customHeight="1" x14ac:dyDescent="0.25">
      <c r="A226" s="2" t="s">
        <v>23</v>
      </c>
      <c r="B226" s="2" t="s">
        <v>25</v>
      </c>
      <c r="C226" s="3">
        <v>44075</v>
      </c>
      <c r="D226" s="3">
        <v>43839</v>
      </c>
      <c r="E226" s="2">
        <v>5707</v>
      </c>
      <c r="F226" s="2">
        <v>597</v>
      </c>
      <c r="G226" s="2">
        <v>7.86</v>
      </c>
      <c r="H226" s="6" t="s">
        <v>17</v>
      </c>
      <c r="I226" s="2">
        <v>287</v>
      </c>
      <c r="J226" s="2">
        <v>7.58</v>
      </c>
      <c r="K226" s="4">
        <f t="shared" si="0"/>
        <v>1.37907</v>
      </c>
      <c r="L226" s="4">
        <f t="shared" si="1"/>
        <v>2.5681500000000002</v>
      </c>
      <c r="M226" s="5">
        <f t="shared" si="2"/>
        <v>6.7674600000000001E-2</v>
      </c>
      <c r="N226" s="4">
        <f t="shared" si="3"/>
        <v>4.0148945999999999</v>
      </c>
      <c r="O226" s="4">
        <f t="shared" si="4"/>
        <v>-3.5651054000000002</v>
      </c>
    </row>
    <row r="227" spans="1:15" ht="22.5" customHeight="1" x14ac:dyDescent="0.25">
      <c r="A227" s="2" t="s">
        <v>23</v>
      </c>
      <c r="B227" s="2" t="s">
        <v>25</v>
      </c>
      <c r="C227" s="3">
        <v>44105</v>
      </c>
      <c r="D227" s="3">
        <v>43840</v>
      </c>
      <c r="E227" s="2">
        <v>6436</v>
      </c>
      <c r="F227" s="2">
        <v>509</v>
      </c>
      <c r="G227" s="2">
        <v>7.71</v>
      </c>
      <c r="H227" s="6" t="s">
        <v>17</v>
      </c>
      <c r="I227" s="2">
        <v>475</v>
      </c>
      <c r="J227" s="2">
        <v>0.32</v>
      </c>
      <c r="K227" s="4">
        <f t="shared" si="0"/>
        <v>1.1757899999999999</v>
      </c>
      <c r="L227" s="4">
        <f t="shared" si="1"/>
        <v>2.8962000000000003</v>
      </c>
      <c r="M227" s="5">
        <f t="shared" si="2"/>
        <v>0.10986749999999999</v>
      </c>
      <c r="N227" s="4">
        <f t="shared" si="3"/>
        <v>4.1818575000000004</v>
      </c>
      <c r="O227" s="4">
        <f t="shared" si="4"/>
        <v>3.8618575000000006</v>
      </c>
    </row>
    <row r="228" spans="1:15" ht="22.5" customHeight="1" x14ac:dyDescent="0.25">
      <c r="A228" s="2" t="s">
        <v>23</v>
      </c>
      <c r="B228" s="2" t="s">
        <v>25</v>
      </c>
      <c r="C228" s="3">
        <v>44136</v>
      </c>
      <c r="D228" s="3">
        <v>43841</v>
      </c>
      <c r="E228" s="2">
        <v>7326</v>
      </c>
      <c r="F228" s="2">
        <v>1013</v>
      </c>
      <c r="G228" s="2">
        <v>1.31</v>
      </c>
      <c r="H228" s="6" t="s">
        <v>17</v>
      </c>
      <c r="I228" s="2">
        <v>711</v>
      </c>
      <c r="J228" s="2">
        <v>2.54</v>
      </c>
      <c r="K228" s="4">
        <f t="shared" si="0"/>
        <v>2.3400300000000001</v>
      </c>
      <c r="L228" s="4">
        <f t="shared" si="1"/>
        <v>3.2967000000000004</v>
      </c>
      <c r="M228" s="5">
        <f t="shared" si="2"/>
        <v>2.79423E-2</v>
      </c>
      <c r="N228" s="4">
        <f t="shared" si="3"/>
        <v>5.6646723000000003</v>
      </c>
      <c r="O228" s="4">
        <f t="shared" si="4"/>
        <v>3.1246723000000003</v>
      </c>
    </row>
    <row r="229" spans="1:15" ht="22.5" customHeight="1" x14ac:dyDescent="0.25">
      <c r="A229" s="2" t="s">
        <v>23</v>
      </c>
      <c r="B229" s="2" t="s">
        <v>25</v>
      </c>
      <c r="C229" s="3">
        <v>44166</v>
      </c>
      <c r="D229" s="3">
        <v>43842</v>
      </c>
      <c r="E229" s="2">
        <v>9181</v>
      </c>
      <c r="F229" s="2">
        <v>702</v>
      </c>
      <c r="G229" s="2">
        <v>9.35</v>
      </c>
      <c r="H229" s="6" t="s">
        <v>21</v>
      </c>
      <c r="I229" s="2">
        <v>914</v>
      </c>
      <c r="J229" s="2">
        <v>1.25</v>
      </c>
      <c r="K229" s="4">
        <f t="shared" si="0"/>
        <v>1.6216200000000001</v>
      </c>
      <c r="L229" s="4">
        <f t="shared" si="1"/>
        <v>4.1314500000000001</v>
      </c>
      <c r="M229" s="5">
        <f t="shared" si="2"/>
        <v>1.2818849999999999</v>
      </c>
      <c r="N229" s="4">
        <f t="shared" si="3"/>
        <v>7.0349550000000001</v>
      </c>
      <c r="O229" s="4">
        <f t="shared" si="4"/>
        <v>5.7849550000000001</v>
      </c>
    </row>
    <row r="230" spans="1:15" ht="22.5" customHeight="1" x14ac:dyDescent="0.25">
      <c r="A230" s="2" t="s">
        <v>23</v>
      </c>
      <c r="B230" s="2" t="s">
        <v>25</v>
      </c>
      <c r="C230" s="3">
        <v>44197</v>
      </c>
      <c r="D230" s="3">
        <v>44197</v>
      </c>
      <c r="E230" s="2">
        <v>9358</v>
      </c>
      <c r="F230" s="2">
        <v>490</v>
      </c>
      <c r="G230" s="2">
        <v>6.22</v>
      </c>
      <c r="H230" s="6" t="s">
        <v>18</v>
      </c>
      <c r="I230" s="2">
        <v>447</v>
      </c>
      <c r="J230" s="2">
        <v>9.4</v>
      </c>
      <c r="K230" s="4">
        <f t="shared" si="0"/>
        <v>1.1319000000000001</v>
      </c>
      <c r="L230" s="4">
        <f t="shared" si="1"/>
        <v>4.2111000000000001</v>
      </c>
      <c r="M230" s="5">
        <f t="shared" si="2"/>
        <v>1.668204</v>
      </c>
      <c r="N230" s="4">
        <f t="shared" si="3"/>
        <v>7.0112040000000002</v>
      </c>
      <c r="O230" s="4">
        <f t="shared" si="4"/>
        <v>-2.3887960000000001</v>
      </c>
    </row>
    <row r="231" spans="1:15" ht="22.5" customHeight="1" x14ac:dyDescent="0.25">
      <c r="A231" s="2" t="s">
        <v>23</v>
      </c>
      <c r="B231" s="2" t="s">
        <v>25</v>
      </c>
      <c r="C231" s="3">
        <v>44228</v>
      </c>
      <c r="D231" s="3">
        <v>44198</v>
      </c>
      <c r="E231" s="2">
        <v>4277</v>
      </c>
      <c r="F231" s="2">
        <v>720</v>
      </c>
      <c r="G231" s="2">
        <v>5.36</v>
      </c>
      <c r="H231" s="6" t="s">
        <v>17</v>
      </c>
      <c r="I231" s="2">
        <v>629</v>
      </c>
      <c r="J231" s="2">
        <v>8.65</v>
      </c>
      <c r="K231" s="4">
        <f t="shared" si="0"/>
        <v>1.6632</v>
      </c>
      <c r="L231" s="4">
        <f t="shared" si="1"/>
        <v>1.9246500000000002</v>
      </c>
      <c r="M231" s="5">
        <f t="shared" si="2"/>
        <v>0.1011432</v>
      </c>
      <c r="N231" s="4">
        <f t="shared" si="3"/>
        <v>3.6889932000000005</v>
      </c>
      <c r="O231" s="4">
        <f t="shared" si="4"/>
        <v>-4.9610067999999998</v>
      </c>
    </row>
    <row r="232" spans="1:15" ht="22.5" customHeight="1" x14ac:dyDescent="0.25">
      <c r="A232" s="2" t="s">
        <v>23</v>
      </c>
      <c r="B232" s="2" t="s">
        <v>25</v>
      </c>
      <c r="C232" s="3">
        <v>44256</v>
      </c>
      <c r="D232" s="3">
        <v>44199</v>
      </c>
      <c r="E232" s="2">
        <v>5396</v>
      </c>
      <c r="F232" s="2">
        <v>595</v>
      </c>
      <c r="G232" s="2">
        <v>5.73</v>
      </c>
      <c r="H232" s="6" t="s">
        <v>21</v>
      </c>
      <c r="I232" s="2">
        <v>736</v>
      </c>
      <c r="J232" s="2">
        <v>8.17</v>
      </c>
      <c r="K232" s="4">
        <f t="shared" si="0"/>
        <v>1.3744499999999999</v>
      </c>
      <c r="L232" s="4">
        <f t="shared" si="1"/>
        <v>2.4282000000000004</v>
      </c>
      <c r="M232" s="5">
        <f t="shared" si="2"/>
        <v>0.63259199999999993</v>
      </c>
      <c r="N232" s="4">
        <f t="shared" si="3"/>
        <v>4.4352420000000006</v>
      </c>
      <c r="O232" s="4">
        <f t="shared" si="4"/>
        <v>-3.7347579999999994</v>
      </c>
    </row>
    <row r="233" spans="1:15" ht="22.5" customHeight="1" x14ac:dyDescent="0.25">
      <c r="A233" s="2" t="s">
        <v>23</v>
      </c>
      <c r="B233" s="2" t="s">
        <v>25</v>
      </c>
      <c r="C233" s="3">
        <v>44287</v>
      </c>
      <c r="D233" s="3">
        <v>44200</v>
      </c>
      <c r="E233" s="2">
        <v>9623</v>
      </c>
      <c r="F233" s="2">
        <v>837</v>
      </c>
      <c r="G233" s="2">
        <v>6.97</v>
      </c>
      <c r="H233" s="6" t="s">
        <v>21</v>
      </c>
      <c r="I233" s="2">
        <v>731</v>
      </c>
      <c r="J233" s="2">
        <v>5.47</v>
      </c>
      <c r="K233" s="4">
        <f t="shared" si="0"/>
        <v>1.93347</v>
      </c>
      <c r="L233" s="4">
        <f t="shared" si="1"/>
        <v>4.3303500000000001</v>
      </c>
      <c r="M233" s="5">
        <f t="shared" si="2"/>
        <v>0.7642604999999999</v>
      </c>
      <c r="N233" s="4">
        <f t="shared" si="3"/>
        <v>7.0280804999999997</v>
      </c>
      <c r="O233" s="4">
        <f t="shared" si="4"/>
        <v>1.5580805</v>
      </c>
    </row>
    <row r="234" spans="1:15" ht="22.5" customHeight="1" x14ac:dyDescent="0.25">
      <c r="A234" s="2" t="s">
        <v>23</v>
      </c>
      <c r="B234" s="2" t="s">
        <v>25</v>
      </c>
      <c r="C234" s="3">
        <v>44317</v>
      </c>
      <c r="D234" s="3">
        <v>44201</v>
      </c>
      <c r="E234" s="2">
        <v>4550</v>
      </c>
      <c r="F234" s="2">
        <v>323</v>
      </c>
      <c r="G234" s="2">
        <v>8.67</v>
      </c>
      <c r="H234" s="6" t="s">
        <v>21</v>
      </c>
      <c r="I234" s="2">
        <v>470</v>
      </c>
      <c r="J234" s="2">
        <v>9.44</v>
      </c>
      <c r="K234" s="4">
        <f t="shared" si="0"/>
        <v>0.74612999999999996</v>
      </c>
      <c r="L234" s="4">
        <f t="shared" si="1"/>
        <v>2.0474999999999999</v>
      </c>
      <c r="M234" s="5">
        <f t="shared" si="2"/>
        <v>0.61123499999999997</v>
      </c>
      <c r="N234" s="4">
        <f t="shared" si="3"/>
        <v>3.404865</v>
      </c>
      <c r="O234" s="4">
        <f t="shared" si="4"/>
        <v>-6.0351349999999995</v>
      </c>
    </row>
    <row r="235" spans="1:15" ht="22.5" customHeight="1" x14ac:dyDescent="0.25">
      <c r="A235" s="2" t="s">
        <v>23</v>
      </c>
      <c r="B235" s="2" t="s">
        <v>25</v>
      </c>
      <c r="C235" s="3">
        <v>44348</v>
      </c>
      <c r="D235" s="3">
        <v>44202</v>
      </c>
      <c r="E235" s="2">
        <v>6882</v>
      </c>
      <c r="F235" s="2">
        <v>561</v>
      </c>
      <c r="G235" s="2">
        <v>2.4900000000000002</v>
      </c>
      <c r="H235" s="6" t="s">
        <v>18</v>
      </c>
      <c r="I235" s="2">
        <v>728</v>
      </c>
      <c r="J235" s="2">
        <v>4.79</v>
      </c>
      <c r="K235" s="4">
        <f t="shared" si="0"/>
        <v>1.2959100000000001</v>
      </c>
      <c r="L235" s="4">
        <f t="shared" si="1"/>
        <v>3.0969000000000002</v>
      </c>
      <c r="M235" s="5">
        <f t="shared" si="2"/>
        <v>1.0876320000000002</v>
      </c>
      <c r="N235" s="4">
        <f t="shared" si="3"/>
        <v>5.4804420000000009</v>
      </c>
      <c r="O235" s="4">
        <f t="shared" si="4"/>
        <v>0.69044200000000089</v>
      </c>
    </row>
    <row r="236" spans="1:15" ht="22.5" customHeight="1" x14ac:dyDescent="0.25">
      <c r="A236" s="2" t="s">
        <v>23</v>
      </c>
      <c r="B236" s="2" t="s">
        <v>25</v>
      </c>
      <c r="C236" s="3">
        <v>44378</v>
      </c>
      <c r="D236" s="3">
        <v>44203</v>
      </c>
      <c r="E236" s="2">
        <v>6991</v>
      </c>
      <c r="F236" s="2">
        <v>1082</v>
      </c>
      <c r="G236" s="2">
        <v>7.6</v>
      </c>
      <c r="H236" s="6" t="s">
        <v>17</v>
      </c>
      <c r="I236" s="2">
        <v>956</v>
      </c>
      <c r="J236" s="2">
        <v>1.51</v>
      </c>
      <c r="K236" s="4">
        <f t="shared" si="0"/>
        <v>2.4994200000000002</v>
      </c>
      <c r="L236" s="4">
        <f t="shared" si="1"/>
        <v>3.1459500000000005</v>
      </c>
      <c r="M236" s="5">
        <f t="shared" si="2"/>
        <v>0.217968</v>
      </c>
      <c r="N236" s="4">
        <f t="shared" si="3"/>
        <v>5.8633380000000006</v>
      </c>
      <c r="O236" s="4">
        <f t="shared" si="4"/>
        <v>4.3533380000000008</v>
      </c>
    </row>
    <row r="237" spans="1:15" ht="22.5" customHeight="1" x14ac:dyDescent="0.25">
      <c r="A237" s="2" t="s">
        <v>23</v>
      </c>
      <c r="B237" s="2" t="s">
        <v>25</v>
      </c>
      <c r="C237" s="3">
        <v>44409</v>
      </c>
      <c r="D237" s="3">
        <v>44204</v>
      </c>
      <c r="E237" s="2">
        <v>7142</v>
      </c>
      <c r="F237" s="2">
        <v>471</v>
      </c>
      <c r="G237" s="2">
        <v>5.25</v>
      </c>
      <c r="H237" s="6" t="s">
        <v>20</v>
      </c>
      <c r="I237" s="2">
        <v>341</v>
      </c>
      <c r="J237" s="2">
        <v>2.39</v>
      </c>
      <c r="K237" s="4">
        <f t="shared" si="0"/>
        <v>1.0880099999999999</v>
      </c>
      <c r="L237" s="4">
        <f t="shared" si="1"/>
        <v>3.2139000000000002</v>
      </c>
      <c r="M237" s="5">
        <f t="shared" si="2"/>
        <v>3.5804999999999997E-2</v>
      </c>
      <c r="N237" s="4">
        <f t="shared" si="3"/>
        <v>4.3377150000000002</v>
      </c>
      <c r="O237" s="4">
        <f t="shared" si="4"/>
        <v>1.9477150000000001</v>
      </c>
    </row>
    <row r="238" spans="1:15" ht="22.5" customHeight="1" x14ac:dyDescent="0.25">
      <c r="A238" s="2" t="s">
        <v>23</v>
      </c>
      <c r="B238" s="2" t="s">
        <v>25</v>
      </c>
      <c r="C238" s="3">
        <v>44440</v>
      </c>
      <c r="D238" s="3">
        <v>44205</v>
      </c>
      <c r="E238" s="2">
        <v>9524</v>
      </c>
      <c r="F238" s="2">
        <v>990</v>
      </c>
      <c r="G238" s="2">
        <v>3.6</v>
      </c>
      <c r="H238" s="6" t="s">
        <v>20</v>
      </c>
      <c r="I238" s="2">
        <v>877</v>
      </c>
      <c r="J238" s="2">
        <v>5.9</v>
      </c>
      <c r="K238" s="4">
        <f t="shared" si="0"/>
        <v>2.2869000000000002</v>
      </c>
      <c r="L238" s="4">
        <f t="shared" si="1"/>
        <v>4.2858000000000001</v>
      </c>
      <c r="M238" s="5">
        <f t="shared" si="2"/>
        <v>6.3143999999999992E-2</v>
      </c>
      <c r="N238" s="4">
        <f t="shared" si="3"/>
        <v>6.6358440000000005</v>
      </c>
      <c r="O238" s="4">
        <f t="shared" si="4"/>
        <v>0.73584400000000016</v>
      </c>
    </row>
    <row r="239" spans="1:15" ht="22.5" customHeight="1" x14ac:dyDescent="0.25">
      <c r="A239" s="2" t="s">
        <v>23</v>
      </c>
      <c r="B239" s="2" t="s">
        <v>25</v>
      </c>
      <c r="C239" s="3">
        <v>44470</v>
      </c>
      <c r="D239" s="3">
        <v>44206</v>
      </c>
      <c r="E239" s="2">
        <v>8061</v>
      </c>
      <c r="F239" s="2">
        <v>697</v>
      </c>
      <c r="G239" s="2">
        <v>7.74</v>
      </c>
      <c r="H239" s="6" t="s">
        <v>20</v>
      </c>
      <c r="I239" s="2">
        <v>515</v>
      </c>
      <c r="J239" s="2">
        <v>2.17</v>
      </c>
      <c r="K239" s="4">
        <f t="shared" si="0"/>
        <v>1.6100699999999999</v>
      </c>
      <c r="L239" s="4">
        <f t="shared" si="1"/>
        <v>3.6274500000000001</v>
      </c>
      <c r="M239" s="5">
        <f t="shared" si="2"/>
        <v>7.9722000000000015E-2</v>
      </c>
      <c r="N239" s="4">
        <f t="shared" si="3"/>
        <v>5.3172420000000002</v>
      </c>
      <c r="O239" s="4">
        <f t="shared" si="4"/>
        <v>3.1472420000000003</v>
      </c>
    </row>
    <row r="240" spans="1:15" ht="22.5" customHeight="1" x14ac:dyDescent="0.25">
      <c r="A240" s="2" t="s">
        <v>23</v>
      </c>
      <c r="B240" s="2" t="s">
        <v>25</v>
      </c>
      <c r="C240" s="3">
        <v>44501</v>
      </c>
      <c r="D240" s="3">
        <v>44207</v>
      </c>
      <c r="E240" s="2">
        <v>5662</v>
      </c>
      <c r="F240" s="2">
        <v>928</v>
      </c>
      <c r="G240" s="2">
        <v>4.62</v>
      </c>
      <c r="H240" s="6" t="s">
        <v>20</v>
      </c>
      <c r="I240" s="2">
        <v>260</v>
      </c>
      <c r="J240" s="2">
        <v>4.1399999999999997</v>
      </c>
      <c r="K240" s="4">
        <f t="shared" si="0"/>
        <v>2.1436799999999998</v>
      </c>
      <c r="L240" s="4">
        <f t="shared" si="1"/>
        <v>2.5479000000000003</v>
      </c>
      <c r="M240" s="5">
        <f t="shared" si="2"/>
        <v>2.4024E-2</v>
      </c>
      <c r="N240" s="4">
        <f t="shared" si="3"/>
        <v>4.7156039999999999</v>
      </c>
      <c r="O240" s="4">
        <f t="shared" si="4"/>
        <v>0.57560400000000023</v>
      </c>
    </row>
    <row r="241" spans="1:15" ht="22.5" customHeight="1" x14ac:dyDescent="0.25">
      <c r="A241" s="2" t="s">
        <v>23</v>
      </c>
      <c r="B241" s="2" t="s">
        <v>25</v>
      </c>
      <c r="C241" s="3">
        <v>44531</v>
      </c>
      <c r="D241" s="3">
        <v>44208</v>
      </c>
      <c r="E241" s="2">
        <v>5502</v>
      </c>
      <c r="F241" s="2">
        <v>779</v>
      </c>
      <c r="G241" s="2">
        <v>8.19</v>
      </c>
      <c r="H241" s="6" t="s">
        <v>18</v>
      </c>
      <c r="I241" s="2">
        <v>826</v>
      </c>
      <c r="J241" s="2">
        <v>8.07</v>
      </c>
      <c r="K241" s="4">
        <f t="shared" si="0"/>
        <v>1.79949</v>
      </c>
      <c r="L241" s="4">
        <f t="shared" si="1"/>
        <v>2.4759000000000002</v>
      </c>
      <c r="M241" s="5">
        <f t="shared" si="2"/>
        <v>4.0589639999999996</v>
      </c>
      <c r="N241" s="4">
        <f t="shared" si="3"/>
        <v>8.3343539999999994</v>
      </c>
      <c r="O241" s="4">
        <f t="shared" si="4"/>
        <v>0.26435399999999909</v>
      </c>
    </row>
    <row r="242" spans="1:15" ht="22.5" customHeight="1" x14ac:dyDescent="0.25">
      <c r="A242" s="2" t="s">
        <v>23</v>
      </c>
      <c r="B242" s="2" t="s">
        <v>25</v>
      </c>
      <c r="C242" s="3">
        <v>44562</v>
      </c>
      <c r="D242" s="3">
        <v>44562</v>
      </c>
      <c r="E242" s="2">
        <v>5009</v>
      </c>
      <c r="F242" s="2">
        <v>518</v>
      </c>
      <c r="G242" s="2">
        <v>6.29</v>
      </c>
      <c r="H242" s="6" t="s">
        <v>20</v>
      </c>
      <c r="I242" s="2">
        <v>485</v>
      </c>
      <c r="J242" s="2">
        <v>4.09</v>
      </c>
      <c r="K242" s="4">
        <f t="shared" si="0"/>
        <v>1.19658</v>
      </c>
      <c r="L242" s="4">
        <f t="shared" si="1"/>
        <v>2.2540500000000003</v>
      </c>
      <c r="M242" s="5">
        <f t="shared" si="2"/>
        <v>6.1013000000000005E-2</v>
      </c>
      <c r="N242" s="4">
        <f t="shared" si="3"/>
        <v>3.5116430000000003</v>
      </c>
      <c r="O242" s="4">
        <f t="shared" si="4"/>
        <v>-0.57835699999999957</v>
      </c>
    </row>
    <row r="243" spans="1:15" ht="22.5" customHeight="1" x14ac:dyDescent="0.25">
      <c r="A243" s="2" t="s">
        <v>23</v>
      </c>
      <c r="B243" s="2" t="s">
        <v>25</v>
      </c>
      <c r="C243" s="3">
        <v>44593</v>
      </c>
      <c r="D243" s="3">
        <v>44563</v>
      </c>
      <c r="E243" s="2">
        <v>3270</v>
      </c>
      <c r="F243" s="2">
        <v>756</v>
      </c>
      <c r="G243" s="2">
        <v>5.83</v>
      </c>
      <c r="H243" s="6" t="s">
        <v>20</v>
      </c>
      <c r="I243" s="2">
        <v>558</v>
      </c>
      <c r="J243" s="2">
        <v>5.42</v>
      </c>
      <c r="K243" s="4">
        <f t="shared" si="0"/>
        <v>1.7463600000000001</v>
      </c>
      <c r="L243" s="4">
        <f t="shared" si="1"/>
        <v>1.4715</v>
      </c>
      <c r="M243" s="5">
        <f t="shared" si="2"/>
        <v>6.506279999999999E-2</v>
      </c>
      <c r="N243" s="4">
        <f t="shared" si="3"/>
        <v>3.2829228000000001</v>
      </c>
      <c r="O243" s="4">
        <f t="shared" si="4"/>
        <v>-2.1370771999999998</v>
      </c>
    </row>
    <row r="244" spans="1:15" ht="22.5" customHeight="1" x14ac:dyDescent="0.25">
      <c r="A244" s="2" t="s">
        <v>23</v>
      </c>
      <c r="B244" s="2" t="s">
        <v>25</v>
      </c>
      <c r="C244" s="3">
        <v>44621</v>
      </c>
      <c r="D244" s="3">
        <v>44564</v>
      </c>
      <c r="E244" s="2">
        <v>4071</v>
      </c>
      <c r="F244" s="2">
        <v>865</v>
      </c>
      <c r="G244" s="2">
        <v>3.64</v>
      </c>
      <c r="H244" s="6" t="s">
        <v>18</v>
      </c>
      <c r="I244" s="2">
        <v>205</v>
      </c>
      <c r="J244" s="2">
        <v>0.75</v>
      </c>
      <c r="K244" s="4">
        <f t="shared" si="0"/>
        <v>1.9981500000000001</v>
      </c>
      <c r="L244" s="4">
        <f t="shared" si="1"/>
        <v>1.83195</v>
      </c>
      <c r="M244" s="5">
        <f t="shared" si="2"/>
        <v>0.44772000000000001</v>
      </c>
      <c r="N244" s="4">
        <f t="shared" si="3"/>
        <v>4.2778200000000002</v>
      </c>
      <c r="O244" s="4">
        <f t="shared" si="4"/>
        <v>3.5278200000000002</v>
      </c>
    </row>
    <row r="245" spans="1:15" ht="22.5" customHeight="1" x14ac:dyDescent="0.25">
      <c r="A245" s="2" t="s">
        <v>23</v>
      </c>
      <c r="B245" s="2" t="s">
        <v>25</v>
      </c>
      <c r="C245" s="3">
        <v>44652</v>
      </c>
      <c r="D245" s="3">
        <v>44565</v>
      </c>
      <c r="E245" s="2">
        <v>9082</v>
      </c>
      <c r="F245" s="2">
        <v>860</v>
      </c>
      <c r="G245" s="2">
        <v>9.3699999999999992</v>
      </c>
      <c r="H245" s="6" t="s">
        <v>21</v>
      </c>
      <c r="I245" s="2">
        <v>859</v>
      </c>
      <c r="J245" s="2">
        <v>8.8800000000000008</v>
      </c>
      <c r="K245" s="4">
        <f t="shared" si="0"/>
        <v>1.9866000000000001</v>
      </c>
      <c r="L245" s="4">
        <f t="shared" si="1"/>
        <v>4.0869</v>
      </c>
      <c r="M245" s="5">
        <f t="shared" si="2"/>
        <v>1.2073244999999999</v>
      </c>
      <c r="N245" s="4">
        <f t="shared" si="3"/>
        <v>7.2808244999999996</v>
      </c>
      <c r="O245" s="4">
        <f t="shared" si="4"/>
        <v>-1.5991755000000012</v>
      </c>
    </row>
    <row r="246" spans="1:15" ht="22.5" customHeight="1" x14ac:dyDescent="0.25">
      <c r="A246" s="2" t="s">
        <v>23</v>
      </c>
      <c r="B246" s="2" t="s">
        <v>25</v>
      </c>
      <c r="C246" s="3">
        <v>44682</v>
      </c>
      <c r="D246" s="3">
        <v>44566</v>
      </c>
      <c r="E246" s="2">
        <v>7188</v>
      </c>
      <c r="F246" s="2">
        <v>1138</v>
      </c>
      <c r="G246" s="2">
        <v>1.39</v>
      </c>
      <c r="H246" s="6" t="s">
        <v>18</v>
      </c>
      <c r="I246" s="2">
        <v>550</v>
      </c>
      <c r="J246" s="2">
        <v>0.76</v>
      </c>
      <c r="K246" s="4">
        <f t="shared" si="0"/>
        <v>2.6287800000000003</v>
      </c>
      <c r="L246" s="4">
        <f t="shared" si="1"/>
        <v>3.2345999999999999</v>
      </c>
      <c r="M246" s="5">
        <f t="shared" si="2"/>
        <v>0.4587</v>
      </c>
      <c r="N246" s="4">
        <f t="shared" si="3"/>
        <v>6.3220800000000006</v>
      </c>
      <c r="O246" s="4">
        <f t="shared" si="4"/>
        <v>5.5620800000000008</v>
      </c>
    </row>
    <row r="247" spans="1:15" ht="22.5" customHeight="1" x14ac:dyDescent="0.25">
      <c r="A247" s="2" t="s">
        <v>23</v>
      </c>
      <c r="B247" s="2" t="s">
        <v>25</v>
      </c>
      <c r="C247" s="3">
        <v>44713</v>
      </c>
      <c r="D247" s="3">
        <v>44567</v>
      </c>
      <c r="E247" s="2">
        <v>9588</v>
      </c>
      <c r="F247" s="2">
        <v>916</v>
      </c>
      <c r="G247" s="2">
        <v>2.96</v>
      </c>
      <c r="H247" s="6" t="s">
        <v>17</v>
      </c>
      <c r="I247" s="2">
        <v>740</v>
      </c>
      <c r="J247" s="2">
        <v>4.38</v>
      </c>
      <c r="K247" s="4">
        <f t="shared" si="0"/>
        <v>2.1159599999999998</v>
      </c>
      <c r="L247" s="4">
        <f t="shared" si="1"/>
        <v>4.3146000000000004</v>
      </c>
      <c r="M247" s="5">
        <f t="shared" si="2"/>
        <v>6.5712000000000007E-2</v>
      </c>
      <c r="N247" s="4">
        <f t="shared" si="3"/>
        <v>6.4962720000000003</v>
      </c>
      <c r="O247" s="4">
        <f t="shared" si="4"/>
        <v>2.1162720000000004</v>
      </c>
    </row>
    <row r="248" spans="1:15" ht="22.5" customHeight="1" x14ac:dyDescent="0.25">
      <c r="A248" s="2" t="s">
        <v>23</v>
      </c>
      <c r="B248" s="2" t="s">
        <v>25</v>
      </c>
      <c r="C248" s="3">
        <v>44743</v>
      </c>
      <c r="D248" s="3">
        <v>44568</v>
      </c>
      <c r="E248" s="2">
        <v>9856</v>
      </c>
      <c r="F248" s="2">
        <v>537</v>
      </c>
      <c r="G248" s="2">
        <v>4.0199999999999996</v>
      </c>
      <c r="H248" s="6" t="s">
        <v>17</v>
      </c>
      <c r="I248" s="2">
        <v>269</v>
      </c>
      <c r="J248" s="2">
        <v>7.45</v>
      </c>
      <c r="K248" s="4">
        <f t="shared" si="0"/>
        <v>1.24047</v>
      </c>
      <c r="L248" s="4">
        <f t="shared" si="1"/>
        <v>4.4352</v>
      </c>
      <c r="M248" s="5">
        <f t="shared" si="2"/>
        <v>3.2441399999999995E-2</v>
      </c>
      <c r="N248" s="4">
        <f t="shared" si="3"/>
        <v>5.7081113999999999</v>
      </c>
      <c r="O248" s="4">
        <f t="shared" si="4"/>
        <v>-1.7418886000000002</v>
      </c>
    </row>
    <row r="249" spans="1:15" ht="22.5" customHeight="1" x14ac:dyDescent="0.25">
      <c r="A249" s="2" t="s">
        <v>23</v>
      </c>
      <c r="B249" s="2" t="s">
        <v>25</v>
      </c>
      <c r="C249" s="3">
        <v>44774</v>
      </c>
      <c r="D249" s="3">
        <v>44569</v>
      </c>
      <c r="E249" s="2">
        <v>9015</v>
      </c>
      <c r="F249" s="2">
        <v>620</v>
      </c>
      <c r="G249" s="2">
        <v>9.82</v>
      </c>
      <c r="H249" s="6" t="s">
        <v>17</v>
      </c>
      <c r="I249" s="2">
        <v>428</v>
      </c>
      <c r="J249" s="2">
        <v>8.91</v>
      </c>
      <c r="K249" s="4">
        <f t="shared" si="0"/>
        <v>1.4322000000000001</v>
      </c>
      <c r="L249" s="4">
        <f t="shared" si="1"/>
        <v>4.0567500000000001</v>
      </c>
      <c r="M249" s="5">
        <f t="shared" si="2"/>
        <v>0.1260888</v>
      </c>
      <c r="N249" s="4">
        <f t="shared" si="3"/>
        <v>5.6150387999999998</v>
      </c>
      <c r="O249" s="4">
        <f t="shared" si="4"/>
        <v>-3.2949612000000004</v>
      </c>
    </row>
    <row r="250" spans="1:15" ht="22.5" customHeight="1" x14ac:dyDescent="0.25">
      <c r="A250" s="2" t="s">
        <v>23</v>
      </c>
      <c r="B250" s="2" t="s">
        <v>25</v>
      </c>
      <c r="C250" s="3">
        <v>44805</v>
      </c>
      <c r="D250" s="3">
        <v>44570</v>
      </c>
      <c r="E250" s="2">
        <v>7411</v>
      </c>
      <c r="F250" s="2">
        <v>234</v>
      </c>
      <c r="G250" s="2">
        <v>8.11</v>
      </c>
      <c r="H250" s="6" t="s">
        <v>17</v>
      </c>
      <c r="I250" s="2">
        <v>229</v>
      </c>
      <c r="J250" s="2">
        <v>9.66</v>
      </c>
      <c r="K250" s="4">
        <f t="shared" si="0"/>
        <v>0.54053999999999991</v>
      </c>
      <c r="L250" s="4">
        <f t="shared" si="1"/>
        <v>3.3349500000000001</v>
      </c>
      <c r="M250" s="5">
        <f t="shared" si="2"/>
        <v>5.57157E-2</v>
      </c>
      <c r="N250" s="4">
        <f t="shared" si="3"/>
        <v>3.9312057</v>
      </c>
      <c r="O250" s="4">
        <f t="shared" si="4"/>
        <v>-5.7287943000000006</v>
      </c>
    </row>
    <row r="251" spans="1:15" ht="22.5" customHeight="1" x14ac:dyDescent="0.25">
      <c r="A251" s="2" t="s">
        <v>23</v>
      </c>
      <c r="B251" s="2" t="s">
        <v>25</v>
      </c>
      <c r="C251" s="3">
        <v>44835</v>
      </c>
      <c r="D251" s="3">
        <v>44571</v>
      </c>
      <c r="E251" s="2">
        <v>6532</v>
      </c>
      <c r="F251" s="2">
        <v>532</v>
      </c>
      <c r="G251" s="2">
        <v>1.21</v>
      </c>
      <c r="H251" s="6" t="s">
        <v>17</v>
      </c>
      <c r="I251" s="2">
        <v>132</v>
      </c>
      <c r="J251" s="2">
        <v>6.24</v>
      </c>
      <c r="K251" s="4">
        <f t="shared" si="0"/>
        <v>1.22892</v>
      </c>
      <c r="L251" s="4">
        <f t="shared" si="1"/>
        <v>2.9394</v>
      </c>
      <c r="M251" s="5">
        <f t="shared" si="2"/>
        <v>4.7916E-3</v>
      </c>
      <c r="N251" s="4">
        <f t="shared" si="3"/>
        <v>4.1731115999999995</v>
      </c>
      <c r="O251" s="4">
        <f t="shared" si="4"/>
        <v>-2.0668884000000007</v>
      </c>
    </row>
    <row r="252" spans="1:15" ht="22.5" customHeight="1" x14ac:dyDescent="0.25">
      <c r="A252" s="2" t="s">
        <v>23</v>
      </c>
      <c r="B252" s="2" t="s">
        <v>25</v>
      </c>
      <c r="C252" s="3">
        <v>44866</v>
      </c>
      <c r="D252" s="3">
        <v>44572</v>
      </c>
      <c r="E252" s="2">
        <v>6860</v>
      </c>
      <c r="F252" s="2">
        <v>1082</v>
      </c>
      <c r="G252" s="2">
        <v>8.1199999999999992</v>
      </c>
      <c r="H252" s="6" t="s">
        <v>17</v>
      </c>
      <c r="I252" s="2">
        <v>347</v>
      </c>
      <c r="J252" s="2">
        <v>6.33</v>
      </c>
      <c r="K252" s="4">
        <f t="shared" si="0"/>
        <v>2.4994200000000002</v>
      </c>
      <c r="L252" s="4">
        <f t="shared" si="1"/>
        <v>3.0870000000000002</v>
      </c>
      <c r="M252" s="5">
        <f t="shared" si="2"/>
        <v>8.4529199999999985E-2</v>
      </c>
      <c r="N252" s="4">
        <f t="shared" si="3"/>
        <v>5.6709492000000008</v>
      </c>
      <c r="O252" s="4">
        <f t="shared" si="4"/>
        <v>-0.65905079999999927</v>
      </c>
    </row>
    <row r="253" spans="1:15" ht="22.5" customHeight="1" x14ac:dyDescent="0.25">
      <c r="A253" s="2" t="s">
        <v>23</v>
      </c>
      <c r="B253" s="2" t="s">
        <v>25</v>
      </c>
      <c r="C253" s="3">
        <v>44896</v>
      </c>
      <c r="D253" s="3">
        <v>44573</v>
      </c>
      <c r="E253" s="2">
        <v>5891</v>
      </c>
      <c r="F253" s="2">
        <v>656</v>
      </c>
      <c r="G253" s="2">
        <v>8.17</v>
      </c>
      <c r="H253" s="6" t="s">
        <v>17</v>
      </c>
      <c r="I253" s="2">
        <v>238</v>
      </c>
      <c r="J253" s="2">
        <v>9.99</v>
      </c>
      <c r="K253" s="4">
        <f t="shared" si="0"/>
        <v>1.51536</v>
      </c>
      <c r="L253" s="4">
        <f t="shared" si="1"/>
        <v>2.6509500000000004</v>
      </c>
      <c r="M253" s="5">
        <f t="shared" si="2"/>
        <v>5.8333799999999998E-2</v>
      </c>
      <c r="N253" s="4">
        <f t="shared" si="3"/>
        <v>4.2246437999999999</v>
      </c>
      <c r="O253" s="4">
        <f t="shared" si="4"/>
        <v>-5.7653562000000003</v>
      </c>
    </row>
    <row r="254" spans="1:15" ht="22.5" customHeight="1" x14ac:dyDescent="0.25">
      <c r="A254" s="2" t="s">
        <v>23</v>
      </c>
      <c r="B254" s="2" t="s">
        <v>25</v>
      </c>
      <c r="C254" s="3">
        <v>44927</v>
      </c>
      <c r="D254" s="3">
        <v>44927</v>
      </c>
      <c r="E254" s="2">
        <v>7275</v>
      </c>
      <c r="F254" s="2">
        <v>885</v>
      </c>
      <c r="G254" s="2">
        <v>8.84</v>
      </c>
      <c r="H254" s="6" t="s">
        <v>21</v>
      </c>
      <c r="I254" s="2">
        <v>256</v>
      </c>
      <c r="J254" s="2">
        <v>5.21</v>
      </c>
      <c r="K254" s="4">
        <f t="shared" si="0"/>
        <v>2.0443500000000001</v>
      </c>
      <c r="L254" s="4">
        <f t="shared" si="1"/>
        <v>3.2737500000000002</v>
      </c>
      <c r="M254" s="5">
        <f t="shared" si="2"/>
        <v>0.33945599999999998</v>
      </c>
      <c r="N254" s="4">
        <f t="shared" si="3"/>
        <v>5.6575560000000005</v>
      </c>
      <c r="O254" s="4">
        <f t="shared" si="4"/>
        <v>0.44755600000000051</v>
      </c>
    </row>
    <row r="255" spans="1:15" ht="22.5" customHeight="1" x14ac:dyDescent="0.25">
      <c r="A255" s="2" t="s">
        <v>23</v>
      </c>
      <c r="B255" s="2" t="s">
        <v>25</v>
      </c>
      <c r="C255" s="3">
        <v>44958</v>
      </c>
      <c r="D255" s="3">
        <v>44928</v>
      </c>
      <c r="E255" s="2">
        <v>9451</v>
      </c>
      <c r="F255" s="2">
        <v>263</v>
      </c>
      <c r="G255" s="2">
        <v>3.93</v>
      </c>
      <c r="H255" s="6" t="s">
        <v>20</v>
      </c>
      <c r="I255" s="2">
        <v>718</v>
      </c>
      <c r="J255" s="2">
        <v>3.59</v>
      </c>
      <c r="K255" s="4">
        <f t="shared" si="0"/>
        <v>0.60753000000000001</v>
      </c>
      <c r="L255" s="4">
        <f t="shared" si="1"/>
        <v>4.2529500000000002</v>
      </c>
      <c r="M255" s="5">
        <f t="shared" si="2"/>
        <v>5.64348E-2</v>
      </c>
      <c r="N255" s="4">
        <f t="shared" si="3"/>
        <v>4.9169147999999998</v>
      </c>
      <c r="O255" s="4">
        <f t="shared" si="4"/>
        <v>1.3269147999999999</v>
      </c>
    </row>
    <row r="256" spans="1:15" ht="22.5" customHeight="1" x14ac:dyDescent="0.25">
      <c r="A256" s="2" t="s">
        <v>23</v>
      </c>
      <c r="B256" s="2" t="s">
        <v>25</v>
      </c>
      <c r="C256" s="3">
        <v>44986</v>
      </c>
      <c r="D256" s="3">
        <v>44929</v>
      </c>
      <c r="E256" s="2">
        <v>4707</v>
      </c>
      <c r="F256" s="2">
        <v>999</v>
      </c>
      <c r="G256" s="2">
        <v>8.4</v>
      </c>
      <c r="H256" s="6" t="s">
        <v>21</v>
      </c>
      <c r="I256" s="2">
        <v>812</v>
      </c>
      <c r="J256" s="2">
        <v>1.02</v>
      </c>
      <c r="K256" s="4">
        <f t="shared" si="0"/>
        <v>2.30769</v>
      </c>
      <c r="L256" s="4">
        <f t="shared" si="1"/>
        <v>2.11815</v>
      </c>
      <c r="M256" s="5">
        <f t="shared" si="2"/>
        <v>1.02312</v>
      </c>
      <c r="N256" s="4">
        <f t="shared" si="3"/>
        <v>5.4489599999999996</v>
      </c>
      <c r="O256" s="4">
        <f t="shared" si="4"/>
        <v>4.42896</v>
      </c>
    </row>
    <row r="257" spans="1:15" ht="22.5" customHeight="1" x14ac:dyDescent="0.25">
      <c r="A257" s="2" t="s">
        <v>23</v>
      </c>
      <c r="B257" s="2" t="s">
        <v>25</v>
      </c>
      <c r="C257" s="3">
        <v>45017</v>
      </c>
      <c r="D257" s="3">
        <v>44930</v>
      </c>
      <c r="E257" s="2">
        <v>7080</v>
      </c>
      <c r="F257" s="2">
        <v>340</v>
      </c>
      <c r="G257" s="2">
        <v>8.35</v>
      </c>
      <c r="H257" s="6" t="s">
        <v>21</v>
      </c>
      <c r="I257" s="2">
        <v>756</v>
      </c>
      <c r="J257" s="2">
        <v>6.07</v>
      </c>
      <c r="K257" s="4">
        <f t="shared" ref="K257:K511" si="5">F257*2.31/1000</f>
        <v>0.78539999999999999</v>
      </c>
      <c r="L257" s="4">
        <f t="shared" ref="L257:L511" si="6">E257*0.45/1000</f>
        <v>3.1859999999999999</v>
      </c>
      <c r="M257" s="5">
        <f t="shared" ref="M257:M511" si="7">IF(H257="Truck",0.15*I257*G257/1000,
   IF(H257="Ship",0.02*I257*G257/1000,
     IF(H257="Rail",0.03*I257*G257/1000,
       IF(H257="Air",0.6*I257*G257/1000,
         ""))))</f>
        <v>0.9468899999999999</v>
      </c>
      <c r="N257" s="4">
        <f t="shared" ref="N257:N511" si="8">K257+L257+M257</f>
        <v>4.9182899999999998</v>
      </c>
      <c r="O257" s="4">
        <f t="shared" ref="O257:O511" si="9">N257-J257</f>
        <v>-1.1517100000000005</v>
      </c>
    </row>
    <row r="258" spans="1:15" ht="22.5" customHeight="1" x14ac:dyDescent="0.25">
      <c r="A258" s="2" t="s">
        <v>23</v>
      </c>
      <c r="B258" s="2" t="s">
        <v>25</v>
      </c>
      <c r="C258" s="3">
        <v>45047</v>
      </c>
      <c r="D258" s="3">
        <v>44931</v>
      </c>
      <c r="E258" s="2">
        <v>8693</v>
      </c>
      <c r="F258" s="2">
        <v>877</v>
      </c>
      <c r="G258" s="2">
        <v>6.25</v>
      </c>
      <c r="H258" s="6" t="s">
        <v>17</v>
      </c>
      <c r="I258" s="2">
        <v>838</v>
      </c>
      <c r="J258" s="2">
        <v>0.41</v>
      </c>
      <c r="K258" s="4">
        <f t="shared" si="5"/>
        <v>2.0258700000000003</v>
      </c>
      <c r="L258" s="4">
        <f t="shared" si="6"/>
        <v>3.9118499999999998</v>
      </c>
      <c r="M258" s="5">
        <f t="shared" si="7"/>
        <v>0.15712499999999999</v>
      </c>
      <c r="N258" s="4">
        <f t="shared" si="8"/>
        <v>6.0948450000000003</v>
      </c>
      <c r="O258" s="4">
        <f t="shared" si="9"/>
        <v>5.6848450000000001</v>
      </c>
    </row>
    <row r="259" spans="1:15" ht="22.5" customHeight="1" x14ac:dyDescent="0.25">
      <c r="A259" s="2" t="s">
        <v>23</v>
      </c>
      <c r="B259" s="2" t="s">
        <v>25</v>
      </c>
      <c r="C259" s="3">
        <v>45078</v>
      </c>
      <c r="D259" s="3">
        <v>44932</v>
      </c>
      <c r="E259" s="2">
        <v>4387</v>
      </c>
      <c r="F259" s="2">
        <v>548</v>
      </c>
      <c r="G259" s="2">
        <v>9.18</v>
      </c>
      <c r="H259" s="6" t="s">
        <v>18</v>
      </c>
      <c r="I259" s="2">
        <v>238</v>
      </c>
      <c r="J259" s="2">
        <v>7.17</v>
      </c>
      <c r="K259" s="4">
        <f t="shared" si="5"/>
        <v>1.2658800000000001</v>
      </c>
      <c r="L259" s="4">
        <f t="shared" si="6"/>
        <v>1.9741500000000001</v>
      </c>
      <c r="M259" s="5">
        <f t="shared" si="7"/>
        <v>1.3109039999999998</v>
      </c>
      <c r="N259" s="4">
        <f t="shared" si="8"/>
        <v>4.5509339999999998</v>
      </c>
      <c r="O259" s="4">
        <f t="shared" si="9"/>
        <v>-2.6190660000000001</v>
      </c>
    </row>
    <row r="260" spans="1:15" ht="22.5" customHeight="1" x14ac:dyDescent="0.25">
      <c r="A260" s="2" t="s">
        <v>23</v>
      </c>
      <c r="B260" s="2" t="s">
        <v>25</v>
      </c>
      <c r="C260" s="3">
        <v>45108</v>
      </c>
      <c r="D260" s="3">
        <v>44933</v>
      </c>
      <c r="E260" s="2">
        <v>6430</v>
      </c>
      <c r="F260" s="2">
        <v>541</v>
      </c>
      <c r="G260" s="2">
        <v>8.65</v>
      </c>
      <c r="H260" s="6" t="s">
        <v>18</v>
      </c>
      <c r="I260" s="2">
        <v>684</v>
      </c>
      <c r="J260" s="2">
        <v>3.14</v>
      </c>
      <c r="K260" s="4">
        <f t="shared" si="5"/>
        <v>1.2497100000000001</v>
      </c>
      <c r="L260" s="4">
        <f t="shared" si="6"/>
        <v>2.8935</v>
      </c>
      <c r="M260" s="5">
        <f t="shared" si="7"/>
        <v>3.54996</v>
      </c>
      <c r="N260" s="4">
        <f t="shared" si="8"/>
        <v>7.6931700000000003</v>
      </c>
      <c r="O260" s="4">
        <f t="shared" si="9"/>
        <v>4.5531699999999997</v>
      </c>
    </row>
    <row r="261" spans="1:15" ht="22.5" customHeight="1" x14ac:dyDescent="0.25">
      <c r="A261" s="2" t="s">
        <v>23</v>
      </c>
      <c r="B261" s="2" t="s">
        <v>25</v>
      </c>
      <c r="C261" s="3">
        <v>45139</v>
      </c>
      <c r="D261" s="3">
        <v>44934</v>
      </c>
      <c r="E261" s="2">
        <v>7519</v>
      </c>
      <c r="F261" s="2">
        <v>289</v>
      </c>
      <c r="G261" s="2">
        <v>3.48</v>
      </c>
      <c r="H261" s="6" t="s">
        <v>17</v>
      </c>
      <c r="I261" s="2">
        <v>139</v>
      </c>
      <c r="J261" s="2">
        <v>5.76</v>
      </c>
      <c r="K261" s="4">
        <f t="shared" si="5"/>
        <v>0.66759000000000002</v>
      </c>
      <c r="L261" s="4">
        <f t="shared" si="6"/>
        <v>3.3835500000000001</v>
      </c>
      <c r="M261" s="5">
        <f t="shared" si="7"/>
        <v>1.4511599999999999E-2</v>
      </c>
      <c r="N261" s="4">
        <f t="shared" si="8"/>
        <v>4.0656515999999998</v>
      </c>
      <c r="O261" s="4">
        <f t="shared" si="9"/>
        <v>-1.6943484</v>
      </c>
    </row>
    <row r="262" spans="1:15" ht="22.5" customHeight="1" x14ac:dyDescent="0.25">
      <c r="A262" s="2" t="s">
        <v>23</v>
      </c>
      <c r="B262" s="2" t="s">
        <v>25</v>
      </c>
      <c r="C262" s="3">
        <v>45170</v>
      </c>
      <c r="D262" s="3">
        <v>44935</v>
      </c>
      <c r="E262" s="2">
        <v>4129</v>
      </c>
      <c r="F262" s="2">
        <v>628</v>
      </c>
      <c r="G262" s="2">
        <v>3.9</v>
      </c>
      <c r="H262" s="6" t="s">
        <v>18</v>
      </c>
      <c r="I262" s="2">
        <v>622</v>
      </c>
      <c r="J262" s="2">
        <v>7.43</v>
      </c>
      <c r="K262" s="4">
        <f t="shared" si="5"/>
        <v>1.45068</v>
      </c>
      <c r="L262" s="4">
        <f t="shared" si="6"/>
        <v>1.85805</v>
      </c>
      <c r="M262" s="5">
        <f t="shared" si="7"/>
        <v>1.4554800000000001</v>
      </c>
      <c r="N262" s="4">
        <f t="shared" si="8"/>
        <v>4.7642100000000003</v>
      </c>
      <c r="O262" s="4">
        <f t="shared" si="9"/>
        <v>-2.6657899999999994</v>
      </c>
    </row>
    <row r="263" spans="1:15" ht="22.5" customHeight="1" x14ac:dyDescent="0.25">
      <c r="A263" s="2" t="s">
        <v>23</v>
      </c>
      <c r="B263" s="2" t="s">
        <v>25</v>
      </c>
      <c r="C263" s="3">
        <v>45200</v>
      </c>
      <c r="D263" s="3">
        <v>44936</v>
      </c>
      <c r="E263" s="2">
        <v>6166</v>
      </c>
      <c r="F263" s="2">
        <v>844</v>
      </c>
      <c r="G263" s="2">
        <v>5.09</v>
      </c>
      <c r="H263" s="6" t="s">
        <v>20</v>
      </c>
      <c r="I263" s="2">
        <v>89</v>
      </c>
      <c r="J263" s="2">
        <v>5.05</v>
      </c>
      <c r="K263" s="4">
        <f t="shared" si="5"/>
        <v>1.94964</v>
      </c>
      <c r="L263" s="4">
        <f t="shared" si="6"/>
        <v>2.7747000000000002</v>
      </c>
      <c r="M263" s="5">
        <f t="shared" si="7"/>
        <v>9.0602000000000009E-3</v>
      </c>
      <c r="N263" s="4">
        <f t="shared" si="8"/>
        <v>4.7334002000000002</v>
      </c>
      <c r="O263" s="4">
        <f t="shared" si="9"/>
        <v>-0.31659979999999965</v>
      </c>
    </row>
    <row r="264" spans="1:15" ht="22.5" customHeight="1" x14ac:dyDescent="0.25">
      <c r="A264" s="2" t="s">
        <v>23</v>
      </c>
      <c r="B264" s="2" t="s">
        <v>25</v>
      </c>
      <c r="C264" s="3">
        <v>45231</v>
      </c>
      <c r="D264" s="3">
        <v>44937</v>
      </c>
      <c r="E264" s="2">
        <v>9614</v>
      </c>
      <c r="F264" s="2">
        <v>731</v>
      </c>
      <c r="G264" s="2">
        <v>5.19</v>
      </c>
      <c r="H264" s="6" t="s">
        <v>17</v>
      </c>
      <c r="I264" s="2">
        <v>161</v>
      </c>
      <c r="J264" s="2">
        <v>0.37</v>
      </c>
      <c r="K264" s="4">
        <f t="shared" si="5"/>
        <v>1.6886100000000002</v>
      </c>
      <c r="L264" s="4">
        <f t="shared" si="6"/>
        <v>4.3262999999999998</v>
      </c>
      <c r="M264" s="5">
        <f t="shared" si="7"/>
        <v>2.5067700000000002E-2</v>
      </c>
      <c r="N264" s="4">
        <f t="shared" si="8"/>
        <v>6.0399777000000006</v>
      </c>
      <c r="O264" s="4">
        <f t="shared" si="9"/>
        <v>5.6699777000000005</v>
      </c>
    </row>
    <row r="265" spans="1:15" ht="22.5" customHeight="1" x14ac:dyDescent="0.25">
      <c r="A265" s="2" t="s">
        <v>23</v>
      </c>
      <c r="B265" s="2" t="s">
        <v>25</v>
      </c>
      <c r="C265" s="3">
        <v>45261</v>
      </c>
      <c r="D265" s="3">
        <v>44938</v>
      </c>
      <c r="E265" s="2">
        <v>4745</v>
      </c>
      <c r="F265" s="2">
        <v>716</v>
      </c>
      <c r="G265" s="2">
        <v>8.7100000000000009</v>
      </c>
      <c r="H265" s="6" t="s">
        <v>17</v>
      </c>
      <c r="I265" s="2">
        <v>621</v>
      </c>
      <c r="J265" s="2">
        <v>9.69</v>
      </c>
      <c r="K265" s="4">
        <f t="shared" si="5"/>
        <v>1.6539600000000001</v>
      </c>
      <c r="L265" s="4">
        <f t="shared" si="6"/>
        <v>2.1352500000000001</v>
      </c>
      <c r="M265" s="5">
        <f t="shared" si="7"/>
        <v>0.1622673</v>
      </c>
      <c r="N265" s="4">
        <f t="shared" si="8"/>
        <v>3.9514773000000001</v>
      </c>
      <c r="O265" s="4">
        <f t="shared" si="9"/>
        <v>-5.738522699999999</v>
      </c>
    </row>
    <row r="266" spans="1:15" ht="22.5" customHeight="1" x14ac:dyDescent="0.25">
      <c r="A266" s="2" t="s">
        <v>23</v>
      </c>
      <c r="B266" s="2" t="s">
        <v>25</v>
      </c>
      <c r="C266" s="3">
        <v>45292</v>
      </c>
      <c r="D266" s="3">
        <v>45292</v>
      </c>
      <c r="E266" s="2">
        <v>5115</v>
      </c>
      <c r="F266" s="2">
        <v>393</v>
      </c>
      <c r="G266" s="2">
        <v>1.67</v>
      </c>
      <c r="H266" s="6" t="s">
        <v>20</v>
      </c>
      <c r="I266" s="2">
        <v>983</v>
      </c>
      <c r="J266" s="2">
        <v>1.45</v>
      </c>
      <c r="K266" s="4">
        <f t="shared" si="5"/>
        <v>0.90783000000000003</v>
      </c>
      <c r="L266" s="4">
        <f t="shared" si="6"/>
        <v>2.3017500000000002</v>
      </c>
      <c r="M266" s="5">
        <f t="shared" si="7"/>
        <v>3.2832199999999999E-2</v>
      </c>
      <c r="N266" s="4">
        <f t="shared" si="8"/>
        <v>3.2424122000000004</v>
      </c>
      <c r="O266" s="4">
        <f t="shared" si="9"/>
        <v>1.7924122000000005</v>
      </c>
    </row>
    <row r="267" spans="1:15" ht="22.5" customHeight="1" x14ac:dyDescent="0.25">
      <c r="A267" s="2" t="s">
        <v>23</v>
      </c>
      <c r="B267" s="2" t="s">
        <v>25</v>
      </c>
      <c r="C267" s="3">
        <v>45323</v>
      </c>
      <c r="D267" s="3">
        <v>45293</v>
      </c>
      <c r="E267" s="2">
        <v>7662</v>
      </c>
      <c r="F267" s="2">
        <v>1020</v>
      </c>
      <c r="G267" s="2">
        <v>7.8</v>
      </c>
      <c r="H267" s="6" t="s">
        <v>17</v>
      </c>
      <c r="I267" s="2">
        <v>400</v>
      </c>
      <c r="J267" s="2">
        <v>9.2100000000000009</v>
      </c>
      <c r="K267" s="4">
        <f t="shared" si="5"/>
        <v>2.3562000000000003</v>
      </c>
      <c r="L267" s="4">
        <f t="shared" si="6"/>
        <v>3.4479000000000002</v>
      </c>
      <c r="M267" s="5">
        <f t="shared" si="7"/>
        <v>9.3599999999999989E-2</v>
      </c>
      <c r="N267" s="4">
        <f t="shared" si="8"/>
        <v>5.8977000000000004</v>
      </c>
      <c r="O267" s="4">
        <f t="shared" si="9"/>
        <v>-3.3123000000000005</v>
      </c>
    </row>
    <row r="268" spans="1:15" ht="22.5" customHeight="1" x14ac:dyDescent="0.25">
      <c r="A268" s="2" t="s">
        <v>23</v>
      </c>
      <c r="B268" s="2" t="s">
        <v>25</v>
      </c>
      <c r="C268" s="3">
        <v>45352</v>
      </c>
      <c r="D268" s="3">
        <v>45294</v>
      </c>
      <c r="E268" s="2">
        <v>9501</v>
      </c>
      <c r="F268" s="2">
        <v>864</v>
      </c>
      <c r="G268" s="2">
        <v>9.66</v>
      </c>
      <c r="H268" s="6" t="s">
        <v>21</v>
      </c>
      <c r="I268" s="2">
        <v>203</v>
      </c>
      <c r="J268" s="2">
        <v>6.93</v>
      </c>
      <c r="K268" s="4">
        <f t="shared" si="5"/>
        <v>1.9958400000000001</v>
      </c>
      <c r="L268" s="4">
        <f t="shared" si="6"/>
        <v>4.2754500000000002</v>
      </c>
      <c r="M268" s="5">
        <f t="shared" si="7"/>
        <v>0.29414699999999999</v>
      </c>
      <c r="N268" s="4">
        <f t="shared" si="8"/>
        <v>6.5654370000000002</v>
      </c>
      <c r="O268" s="4">
        <f t="shared" si="9"/>
        <v>-0.36456299999999953</v>
      </c>
    </row>
    <row r="269" spans="1:15" ht="22.5" customHeight="1" x14ac:dyDescent="0.25">
      <c r="A269" s="2" t="s">
        <v>23</v>
      </c>
      <c r="B269" s="2" t="s">
        <v>25</v>
      </c>
      <c r="C269" s="3">
        <v>45383</v>
      </c>
      <c r="D269" s="3">
        <v>45295</v>
      </c>
      <c r="E269" s="2">
        <v>9593</v>
      </c>
      <c r="F269" s="2">
        <v>864</v>
      </c>
      <c r="G269" s="2">
        <v>1.05</v>
      </c>
      <c r="H269" s="6" t="s">
        <v>18</v>
      </c>
      <c r="I269" s="2">
        <v>847</v>
      </c>
      <c r="J269" s="2">
        <v>6.11</v>
      </c>
      <c r="K269" s="4">
        <f t="shared" si="5"/>
        <v>1.9958400000000001</v>
      </c>
      <c r="L269" s="4">
        <f t="shared" si="6"/>
        <v>4.3168500000000005</v>
      </c>
      <c r="M269" s="5">
        <f t="shared" si="7"/>
        <v>0.53361000000000003</v>
      </c>
      <c r="N269" s="4">
        <f t="shared" si="8"/>
        <v>6.8463000000000012</v>
      </c>
      <c r="O269" s="4">
        <f t="shared" si="9"/>
        <v>0.73630000000000084</v>
      </c>
    </row>
    <row r="270" spans="1:15" ht="22.5" customHeight="1" x14ac:dyDescent="0.25">
      <c r="A270" s="2" t="s">
        <v>23</v>
      </c>
      <c r="B270" s="2" t="s">
        <v>25</v>
      </c>
      <c r="C270" s="3">
        <v>45413</v>
      </c>
      <c r="D270" s="3">
        <v>45296</v>
      </c>
      <c r="E270" s="2">
        <v>4733</v>
      </c>
      <c r="F270" s="2">
        <v>801</v>
      </c>
      <c r="G270" s="2">
        <v>7.13</v>
      </c>
      <c r="H270" s="6" t="s">
        <v>20</v>
      </c>
      <c r="I270" s="2">
        <v>200</v>
      </c>
      <c r="J270" s="2">
        <v>7.25</v>
      </c>
      <c r="K270" s="4">
        <f t="shared" si="5"/>
        <v>1.8503099999999999</v>
      </c>
      <c r="L270" s="4">
        <f t="shared" si="6"/>
        <v>2.1298499999999998</v>
      </c>
      <c r="M270" s="5">
        <f t="shared" si="7"/>
        <v>2.852E-2</v>
      </c>
      <c r="N270" s="4">
        <f t="shared" si="8"/>
        <v>4.00868</v>
      </c>
      <c r="O270" s="4">
        <f t="shared" si="9"/>
        <v>-3.24132</v>
      </c>
    </row>
    <row r="271" spans="1:15" ht="22.5" customHeight="1" x14ac:dyDescent="0.25">
      <c r="A271" s="2" t="s">
        <v>23</v>
      </c>
      <c r="B271" s="2" t="s">
        <v>25</v>
      </c>
      <c r="C271" s="3">
        <v>45444</v>
      </c>
      <c r="D271" s="3">
        <v>45297</v>
      </c>
      <c r="E271" s="2">
        <v>9044</v>
      </c>
      <c r="F271" s="2">
        <v>720</v>
      </c>
      <c r="G271" s="2">
        <v>8.85</v>
      </c>
      <c r="H271" s="6" t="s">
        <v>20</v>
      </c>
      <c r="I271" s="2">
        <v>606</v>
      </c>
      <c r="J271" s="2">
        <v>4.6399999999999997</v>
      </c>
      <c r="K271" s="4">
        <f t="shared" si="5"/>
        <v>1.6632</v>
      </c>
      <c r="L271" s="4">
        <f t="shared" si="6"/>
        <v>4.0697999999999999</v>
      </c>
      <c r="M271" s="5">
        <f t="shared" si="7"/>
        <v>0.107262</v>
      </c>
      <c r="N271" s="4">
        <f t="shared" si="8"/>
        <v>5.8402620000000001</v>
      </c>
      <c r="O271" s="4">
        <f t="shared" si="9"/>
        <v>1.2002620000000004</v>
      </c>
    </row>
    <row r="272" spans="1:15" ht="22.5" customHeight="1" x14ac:dyDescent="0.25">
      <c r="A272" s="2" t="s">
        <v>23</v>
      </c>
      <c r="B272" s="2" t="s">
        <v>25</v>
      </c>
      <c r="C272" s="3">
        <v>45474</v>
      </c>
      <c r="D272" s="3">
        <v>45298</v>
      </c>
      <c r="E272" s="2">
        <v>9200</v>
      </c>
      <c r="F272" s="2">
        <v>757</v>
      </c>
      <c r="G272" s="2">
        <v>7.11</v>
      </c>
      <c r="H272" s="6" t="s">
        <v>18</v>
      </c>
      <c r="I272" s="2">
        <v>647</v>
      </c>
      <c r="J272" s="2">
        <v>2.86</v>
      </c>
      <c r="K272" s="4">
        <f t="shared" si="5"/>
        <v>1.7486700000000002</v>
      </c>
      <c r="L272" s="4">
        <f t="shared" si="6"/>
        <v>4.1399999999999997</v>
      </c>
      <c r="M272" s="5">
        <f t="shared" si="7"/>
        <v>2.7601019999999998</v>
      </c>
      <c r="N272" s="4">
        <f t="shared" si="8"/>
        <v>8.6487719999999992</v>
      </c>
      <c r="O272" s="4">
        <f t="shared" si="9"/>
        <v>5.7887719999999998</v>
      </c>
    </row>
    <row r="273" spans="1:15" ht="22.5" customHeight="1" x14ac:dyDescent="0.25">
      <c r="A273" s="2" t="s">
        <v>23</v>
      </c>
      <c r="B273" s="2" t="s">
        <v>25</v>
      </c>
      <c r="C273" s="3">
        <v>45505</v>
      </c>
      <c r="D273" s="3">
        <v>45299</v>
      </c>
      <c r="E273" s="2">
        <v>8439</v>
      </c>
      <c r="F273" s="2">
        <v>314</v>
      </c>
      <c r="G273" s="2">
        <v>7.74</v>
      </c>
      <c r="H273" s="6" t="s">
        <v>17</v>
      </c>
      <c r="I273" s="2">
        <v>661</v>
      </c>
      <c r="J273" s="2">
        <v>3.16</v>
      </c>
      <c r="K273" s="4">
        <f t="shared" si="5"/>
        <v>0.72533999999999998</v>
      </c>
      <c r="L273" s="4">
        <f t="shared" si="6"/>
        <v>3.7975500000000002</v>
      </c>
      <c r="M273" s="5">
        <f t="shared" si="7"/>
        <v>0.15348419999999999</v>
      </c>
      <c r="N273" s="4">
        <f t="shared" si="8"/>
        <v>4.6763742000000006</v>
      </c>
      <c r="O273" s="4">
        <f t="shared" si="9"/>
        <v>1.5163742000000004</v>
      </c>
    </row>
    <row r="274" spans="1:15" ht="22.5" customHeight="1" x14ac:dyDescent="0.25">
      <c r="A274" s="2" t="s">
        <v>23</v>
      </c>
      <c r="B274" s="2" t="s">
        <v>25</v>
      </c>
      <c r="C274" s="3">
        <v>45536</v>
      </c>
      <c r="D274" s="3">
        <v>45300</v>
      </c>
      <c r="E274" s="2">
        <v>6740</v>
      </c>
      <c r="F274" s="2">
        <v>381</v>
      </c>
      <c r="G274" s="2">
        <v>8.19</v>
      </c>
      <c r="H274" s="6" t="s">
        <v>18</v>
      </c>
      <c r="I274" s="2">
        <v>297</v>
      </c>
      <c r="J274" s="2">
        <v>6.11</v>
      </c>
      <c r="K274" s="4">
        <f t="shared" si="5"/>
        <v>0.88011000000000006</v>
      </c>
      <c r="L274" s="4">
        <f t="shared" si="6"/>
        <v>3.0329999999999999</v>
      </c>
      <c r="M274" s="5">
        <f t="shared" si="7"/>
        <v>1.4594579999999999</v>
      </c>
      <c r="N274" s="4">
        <f t="shared" si="8"/>
        <v>5.3725680000000002</v>
      </c>
      <c r="O274" s="4">
        <f t="shared" si="9"/>
        <v>-0.73743200000000009</v>
      </c>
    </row>
    <row r="275" spans="1:15" ht="22.5" customHeight="1" x14ac:dyDescent="0.25">
      <c r="A275" s="2" t="s">
        <v>23</v>
      </c>
      <c r="B275" s="2" t="s">
        <v>25</v>
      </c>
      <c r="C275" s="3">
        <v>45566</v>
      </c>
      <c r="D275" s="3">
        <v>45301</v>
      </c>
      <c r="E275" s="2">
        <v>5435</v>
      </c>
      <c r="F275" s="2">
        <v>827</v>
      </c>
      <c r="G275" s="2">
        <v>7.8</v>
      </c>
      <c r="H275" s="6" t="s">
        <v>21</v>
      </c>
      <c r="I275" s="2">
        <v>380</v>
      </c>
      <c r="J275" s="2">
        <v>0.27</v>
      </c>
      <c r="K275" s="4">
        <f t="shared" si="5"/>
        <v>1.9103700000000001</v>
      </c>
      <c r="L275" s="4">
        <f t="shared" si="6"/>
        <v>2.4457499999999999</v>
      </c>
      <c r="M275" s="5">
        <f t="shared" si="7"/>
        <v>0.44459999999999994</v>
      </c>
      <c r="N275" s="4">
        <f t="shared" si="8"/>
        <v>4.8007200000000001</v>
      </c>
      <c r="O275" s="4">
        <f t="shared" si="9"/>
        <v>4.5307200000000005</v>
      </c>
    </row>
    <row r="276" spans="1:15" ht="22.5" customHeight="1" x14ac:dyDescent="0.25">
      <c r="A276" s="2" t="s">
        <v>23</v>
      </c>
      <c r="B276" s="2" t="s">
        <v>25</v>
      </c>
      <c r="C276" s="3">
        <v>45597</v>
      </c>
      <c r="D276" s="3">
        <v>45302</v>
      </c>
      <c r="E276" s="2">
        <v>4217</v>
      </c>
      <c r="F276" s="2">
        <v>671</v>
      </c>
      <c r="G276" s="2">
        <v>1.87</v>
      </c>
      <c r="H276" s="6" t="s">
        <v>20</v>
      </c>
      <c r="I276" s="2">
        <v>313</v>
      </c>
      <c r="J276" s="2">
        <v>6.23</v>
      </c>
      <c r="K276" s="4">
        <f t="shared" si="5"/>
        <v>1.5500099999999999</v>
      </c>
      <c r="L276" s="4">
        <f t="shared" si="6"/>
        <v>1.8976500000000001</v>
      </c>
      <c r="M276" s="5">
        <f t="shared" si="7"/>
        <v>1.1706200000000002E-2</v>
      </c>
      <c r="N276" s="4">
        <f t="shared" si="8"/>
        <v>3.4593661999999998</v>
      </c>
      <c r="O276" s="4">
        <f t="shared" si="9"/>
        <v>-2.7706338000000006</v>
      </c>
    </row>
    <row r="277" spans="1:15" ht="22.5" customHeight="1" x14ac:dyDescent="0.25">
      <c r="A277" s="2" t="s">
        <v>23</v>
      </c>
      <c r="B277" s="2" t="s">
        <v>25</v>
      </c>
      <c r="C277" s="3">
        <v>45627</v>
      </c>
      <c r="D277" s="3">
        <v>45303</v>
      </c>
      <c r="E277" s="2">
        <v>3728</v>
      </c>
      <c r="F277" s="2">
        <v>1106</v>
      </c>
      <c r="G277" s="2">
        <v>5.65</v>
      </c>
      <c r="H277" s="6" t="s">
        <v>21</v>
      </c>
      <c r="I277" s="2">
        <v>272</v>
      </c>
      <c r="J277" s="2">
        <v>9.4</v>
      </c>
      <c r="K277" s="4">
        <f t="shared" si="5"/>
        <v>2.5548600000000001</v>
      </c>
      <c r="L277" s="4">
        <f t="shared" si="6"/>
        <v>1.6776000000000002</v>
      </c>
      <c r="M277" s="5">
        <f t="shared" si="7"/>
        <v>0.23052</v>
      </c>
      <c r="N277" s="4">
        <f t="shared" si="8"/>
        <v>4.4629800000000008</v>
      </c>
      <c r="O277" s="4">
        <f t="shared" si="9"/>
        <v>-4.9370199999999995</v>
      </c>
    </row>
    <row r="278" spans="1:15" ht="22.5" customHeight="1" x14ac:dyDescent="0.25">
      <c r="A278" s="2" t="s">
        <v>23</v>
      </c>
      <c r="B278" s="2" t="s">
        <v>25</v>
      </c>
      <c r="C278" s="3">
        <v>45658</v>
      </c>
      <c r="D278" s="3">
        <v>45658</v>
      </c>
      <c r="E278" s="2">
        <v>8287</v>
      </c>
      <c r="F278" s="2">
        <v>404</v>
      </c>
      <c r="G278" s="2">
        <v>8.83</v>
      </c>
      <c r="H278" s="6" t="s">
        <v>20</v>
      </c>
      <c r="I278" s="2">
        <v>565</v>
      </c>
      <c r="J278" s="2">
        <v>7.61</v>
      </c>
      <c r="K278" s="4">
        <f t="shared" si="5"/>
        <v>0.93323999999999996</v>
      </c>
      <c r="L278" s="4">
        <f t="shared" si="6"/>
        <v>3.7291500000000002</v>
      </c>
      <c r="M278" s="5">
        <f t="shared" si="7"/>
        <v>9.9779000000000007E-2</v>
      </c>
      <c r="N278" s="4">
        <f t="shared" si="8"/>
        <v>4.7621690000000001</v>
      </c>
      <c r="O278" s="4">
        <f t="shared" si="9"/>
        <v>-2.8478310000000002</v>
      </c>
    </row>
    <row r="279" spans="1:15" ht="22.5" customHeight="1" x14ac:dyDescent="0.25">
      <c r="A279" s="2" t="s">
        <v>23</v>
      </c>
      <c r="B279" s="2" t="s">
        <v>25</v>
      </c>
      <c r="C279" s="3">
        <v>45689</v>
      </c>
      <c r="D279" s="3">
        <v>45659</v>
      </c>
      <c r="E279" s="2">
        <v>8723</v>
      </c>
      <c r="F279" s="2">
        <v>587</v>
      </c>
      <c r="G279" s="2">
        <v>2.89</v>
      </c>
      <c r="H279" s="6" t="s">
        <v>18</v>
      </c>
      <c r="I279" s="2">
        <v>147</v>
      </c>
      <c r="J279" s="2">
        <v>4.0999999999999996</v>
      </c>
      <c r="K279" s="4">
        <f t="shared" si="5"/>
        <v>1.3559700000000001</v>
      </c>
      <c r="L279" s="4">
        <f t="shared" si="6"/>
        <v>3.9253499999999999</v>
      </c>
      <c r="M279" s="5">
        <f t="shared" si="7"/>
        <v>0.25489800000000001</v>
      </c>
      <c r="N279" s="4">
        <f t="shared" si="8"/>
        <v>5.5362179999999999</v>
      </c>
      <c r="O279" s="4">
        <f t="shared" si="9"/>
        <v>1.4362180000000002</v>
      </c>
    </row>
    <row r="280" spans="1:15" ht="22.5" customHeight="1" x14ac:dyDescent="0.25">
      <c r="A280" s="2" t="s">
        <v>23</v>
      </c>
      <c r="B280" s="2" t="s">
        <v>25</v>
      </c>
      <c r="C280" s="3">
        <v>45717</v>
      </c>
      <c r="D280" s="3">
        <v>45660</v>
      </c>
      <c r="E280" s="2">
        <v>9694</v>
      </c>
      <c r="F280" s="2">
        <v>840</v>
      </c>
      <c r="G280" s="2">
        <v>4.38</v>
      </c>
      <c r="H280" s="6" t="s">
        <v>18</v>
      </c>
      <c r="I280" s="2">
        <v>596</v>
      </c>
      <c r="J280" s="2">
        <v>4.33</v>
      </c>
      <c r="K280" s="4">
        <f t="shared" si="5"/>
        <v>1.9404000000000001</v>
      </c>
      <c r="L280" s="4">
        <f t="shared" si="6"/>
        <v>4.3623000000000003</v>
      </c>
      <c r="M280" s="5">
        <f t="shared" si="7"/>
        <v>1.5662879999999997</v>
      </c>
      <c r="N280" s="4">
        <f t="shared" si="8"/>
        <v>7.8689879999999999</v>
      </c>
      <c r="O280" s="4">
        <f t="shared" si="9"/>
        <v>3.5389879999999998</v>
      </c>
    </row>
    <row r="281" spans="1:15" ht="22.5" customHeight="1" x14ac:dyDescent="0.25">
      <c r="A281" s="2" t="s">
        <v>23</v>
      </c>
      <c r="B281" s="2" t="s">
        <v>25</v>
      </c>
      <c r="C281" s="3">
        <v>45748</v>
      </c>
      <c r="D281" s="3">
        <v>45661</v>
      </c>
      <c r="E281" s="2">
        <v>5320</v>
      </c>
      <c r="F281" s="2">
        <v>1086</v>
      </c>
      <c r="G281" s="2">
        <v>3.3</v>
      </c>
      <c r="H281" s="6" t="s">
        <v>20</v>
      </c>
      <c r="I281" s="2">
        <v>911</v>
      </c>
      <c r="J281" s="2">
        <v>2.31</v>
      </c>
      <c r="K281" s="4">
        <f t="shared" si="5"/>
        <v>2.5086599999999999</v>
      </c>
      <c r="L281" s="4">
        <f t="shared" si="6"/>
        <v>2.3940000000000001</v>
      </c>
      <c r="M281" s="5">
        <f t="shared" si="7"/>
        <v>6.0125999999999992E-2</v>
      </c>
      <c r="N281" s="4">
        <f t="shared" si="8"/>
        <v>4.9627860000000004</v>
      </c>
      <c r="O281" s="4">
        <f t="shared" si="9"/>
        <v>2.6527860000000003</v>
      </c>
    </row>
    <row r="282" spans="1:15" ht="22.5" customHeight="1" x14ac:dyDescent="0.25">
      <c r="A282" s="2" t="s">
        <v>23</v>
      </c>
      <c r="B282" s="2" t="s">
        <v>25</v>
      </c>
      <c r="C282" s="3">
        <v>45778</v>
      </c>
      <c r="D282" s="3">
        <v>45662</v>
      </c>
      <c r="E282" s="2">
        <v>8979</v>
      </c>
      <c r="F282" s="2">
        <v>887</v>
      </c>
      <c r="G282" s="2">
        <v>6.54</v>
      </c>
      <c r="H282" s="6" t="s">
        <v>18</v>
      </c>
      <c r="I282" s="2">
        <v>98</v>
      </c>
      <c r="J282" s="2">
        <v>9.02</v>
      </c>
      <c r="K282" s="4">
        <f t="shared" si="5"/>
        <v>2.0489700000000002</v>
      </c>
      <c r="L282" s="4">
        <f t="shared" si="6"/>
        <v>4.0405500000000005</v>
      </c>
      <c r="M282" s="5">
        <f t="shared" si="7"/>
        <v>0.38455199999999995</v>
      </c>
      <c r="N282" s="4">
        <f t="shared" si="8"/>
        <v>6.4740720000000005</v>
      </c>
      <c r="O282" s="4">
        <f t="shared" si="9"/>
        <v>-2.5459279999999991</v>
      </c>
    </row>
    <row r="283" spans="1:15" ht="22.5" customHeight="1" x14ac:dyDescent="0.25">
      <c r="A283" s="2" t="s">
        <v>23</v>
      </c>
      <c r="B283" s="2" t="s">
        <v>25</v>
      </c>
      <c r="C283" s="3">
        <v>45809</v>
      </c>
      <c r="D283" s="3">
        <v>45663</v>
      </c>
      <c r="E283" s="2">
        <v>9577</v>
      </c>
      <c r="F283" s="2">
        <v>352</v>
      </c>
      <c r="G283" s="2">
        <v>6.87</v>
      </c>
      <c r="H283" s="6" t="s">
        <v>21</v>
      </c>
      <c r="I283" s="2">
        <v>811</v>
      </c>
      <c r="J283" s="2">
        <v>2.61</v>
      </c>
      <c r="K283" s="4">
        <f t="shared" si="5"/>
        <v>0.81311999999999995</v>
      </c>
      <c r="L283" s="4">
        <f t="shared" si="6"/>
        <v>4.3096500000000004</v>
      </c>
      <c r="M283" s="5">
        <f t="shared" si="7"/>
        <v>0.83573549999999996</v>
      </c>
      <c r="N283" s="4">
        <f t="shared" si="8"/>
        <v>5.9585055000000002</v>
      </c>
      <c r="O283" s="4">
        <f t="shared" si="9"/>
        <v>3.3485055000000004</v>
      </c>
    </row>
    <row r="284" spans="1:15" ht="22.5" customHeight="1" x14ac:dyDescent="0.25">
      <c r="A284" s="2" t="s">
        <v>23</v>
      </c>
      <c r="B284" s="2" t="s">
        <v>25</v>
      </c>
      <c r="C284" s="3">
        <v>45839</v>
      </c>
      <c r="D284" s="3">
        <v>45664</v>
      </c>
      <c r="E284" s="2">
        <v>6634</v>
      </c>
      <c r="F284" s="2">
        <v>1087</v>
      </c>
      <c r="G284" s="2">
        <v>4.12</v>
      </c>
      <c r="H284" s="6" t="s">
        <v>17</v>
      </c>
      <c r="I284" s="2">
        <v>910</v>
      </c>
      <c r="J284" s="2">
        <v>6.99</v>
      </c>
      <c r="K284" s="4">
        <f t="shared" si="5"/>
        <v>2.5109700000000004</v>
      </c>
      <c r="L284" s="4">
        <f t="shared" si="6"/>
        <v>2.9853000000000001</v>
      </c>
      <c r="M284" s="5">
        <f t="shared" si="7"/>
        <v>0.11247599999999999</v>
      </c>
      <c r="N284" s="4">
        <f t="shared" si="8"/>
        <v>5.6087460000000009</v>
      </c>
      <c r="O284" s="4">
        <f t="shared" si="9"/>
        <v>-1.3812539999999993</v>
      </c>
    </row>
    <row r="285" spans="1:15" ht="22.5" customHeight="1" x14ac:dyDescent="0.25">
      <c r="A285" s="2" t="s">
        <v>23</v>
      </c>
      <c r="B285" s="2" t="s">
        <v>25</v>
      </c>
      <c r="C285" s="3">
        <v>45870</v>
      </c>
      <c r="D285" s="3">
        <v>45665</v>
      </c>
      <c r="E285" s="2">
        <v>8841</v>
      </c>
      <c r="F285" s="2">
        <v>1138</v>
      </c>
      <c r="G285" s="2">
        <v>7.37</v>
      </c>
      <c r="H285" s="6" t="s">
        <v>20</v>
      </c>
      <c r="I285" s="2">
        <v>783</v>
      </c>
      <c r="J285" s="2">
        <v>2.2400000000000002</v>
      </c>
      <c r="K285" s="4">
        <f t="shared" si="5"/>
        <v>2.6287800000000003</v>
      </c>
      <c r="L285" s="4">
        <f t="shared" si="6"/>
        <v>3.9784500000000005</v>
      </c>
      <c r="M285" s="5">
        <f t="shared" si="7"/>
        <v>0.11541420000000001</v>
      </c>
      <c r="N285" s="4">
        <f t="shared" si="8"/>
        <v>6.7226442000000013</v>
      </c>
      <c r="O285" s="4">
        <f t="shared" si="9"/>
        <v>4.4826442000000011</v>
      </c>
    </row>
    <row r="286" spans="1:15" ht="22.5" customHeight="1" x14ac:dyDescent="0.25">
      <c r="A286" s="2" t="s">
        <v>23</v>
      </c>
      <c r="B286" s="2" t="s">
        <v>25</v>
      </c>
      <c r="C286" s="3">
        <v>45901</v>
      </c>
      <c r="D286" s="3">
        <v>45666</v>
      </c>
      <c r="E286" s="2">
        <v>3918</v>
      </c>
      <c r="F286" s="2">
        <v>906</v>
      </c>
      <c r="G286" s="2">
        <v>2.95</v>
      </c>
      <c r="H286" s="6" t="s">
        <v>18</v>
      </c>
      <c r="I286" s="2">
        <v>461</v>
      </c>
      <c r="J286" s="2">
        <v>1.55</v>
      </c>
      <c r="K286" s="4">
        <f t="shared" si="5"/>
        <v>2.0928599999999999</v>
      </c>
      <c r="L286" s="4">
        <f t="shared" si="6"/>
        <v>1.7631000000000001</v>
      </c>
      <c r="M286" s="5">
        <f t="shared" si="7"/>
        <v>0.81596999999999986</v>
      </c>
      <c r="N286" s="4">
        <f t="shared" si="8"/>
        <v>4.6719299999999997</v>
      </c>
      <c r="O286" s="4">
        <f t="shared" si="9"/>
        <v>3.1219299999999999</v>
      </c>
    </row>
    <row r="287" spans="1:15" ht="22.5" customHeight="1" x14ac:dyDescent="0.25">
      <c r="A287" s="2" t="s">
        <v>23</v>
      </c>
      <c r="B287" s="2" t="s">
        <v>25</v>
      </c>
      <c r="C287" s="3">
        <v>45931</v>
      </c>
      <c r="D287" s="3">
        <v>45667</v>
      </c>
      <c r="E287" s="2">
        <v>9351</v>
      </c>
      <c r="F287" s="2">
        <v>786</v>
      </c>
      <c r="G287" s="2">
        <v>3.2</v>
      </c>
      <c r="H287" s="6" t="s">
        <v>20</v>
      </c>
      <c r="I287" s="2">
        <v>753</v>
      </c>
      <c r="J287" s="2">
        <v>2.36</v>
      </c>
      <c r="K287" s="4">
        <f t="shared" si="5"/>
        <v>1.8156600000000001</v>
      </c>
      <c r="L287" s="4">
        <f t="shared" si="6"/>
        <v>4.2079499999999994</v>
      </c>
      <c r="M287" s="5">
        <f t="shared" si="7"/>
        <v>4.8192000000000006E-2</v>
      </c>
      <c r="N287" s="4">
        <f t="shared" si="8"/>
        <v>6.0718019999999999</v>
      </c>
      <c r="O287" s="4">
        <f t="shared" si="9"/>
        <v>3.711802</v>
      </c>
    </row>
    <row r="288" spans="1:15" ht="22.5" customHeight="1" x14ac:dyDescent="0.25">
      <c r="A288" s="2" t="s">
        <v>23</v>
      </c>
      <c r="B288" s="2" t="s">
        <v>25</v>
      </c>
      <c r="C288" s="3">
        <v>45962</v>
      </c>
      <c r="D288" s="3">
        <v>45668</v>
      </c>
      <c r="E288" s="2">
        <v>3646</v>
      </c>
      <c r="F288" s="2">
        <v>672</v>
      </c>
      <c r="G288" s="2">
        <v>1.87</v>
      </c>
      <c r="H288" s="6" t="s">
        <v>18</v>
      </c>
      <c r="I288" s="2">
        <v>800</v>
      </c>
      <c r="J288" s="2">
        <v>3.54</v>
      </c>
      <c r="K288" s="4">
        <f t="shared" si="5"/>
        <v>1.5523199999999999</v>
      </c>
      <c r="L288" s="4">
        <f t="shared" si="6"/>
        <v>1.6407</v>
      </c>
      <c r="M288" s="5">
        <f t="shared" si="7"/>
        <v>0.89760000000000006</v>
      </c>
      <c r="N288" s="4">
        <f t="shared" si="8"/>
        <v>4.0906199999999995</v>
      </c>
      <c r="O288" s="4">
        <f t="shared" si="9"/>
        <v>0.55061999999999944</v>
      </c>
    </row>
    <row r="289" spans="1:15" ht="22.5" customHeight="1" x14ac:dyDescent="0.25">
      <c r="A289" s="2" t="s">
        <v>23</v>
      </c>
      <c r="B289" s="2" t="s">
        <v>25</v>
      </c>
      <c r="C289" s="3">
        <v>45992</v>
      </c>
      <c r="D289" s="3">
        <v>45669</v>
      </c>
      <c r="E289" s="2">
        <v>9969</v>
      </c>
      <c r="F289" s="2">
        <v>1063</v>
      </c>
      <c r="G289" s="2">
        <v>8.44</v>
      </c>
      <c r="H289" s="6" t="s">
        <v>18</v>
      </c>
      <c r="I289" s="2">
        <v>152</v>
      </c>
      <c r="J289" s="2">
        <v>2.5</v>
      </c>
      <c r="K289" s="4">
        <f t="shared" si="5"/>
        <v>2.45553</v>
      </c>
      <c r="L289" s="4">
        <f t="shared" si="6"/>
        <v>4.4860500000000005</v>
      </c>
      <c r="M289" s="5">
        <f t="shared" si="7"/>
        <v>0.76972799999999997</v>
      </c>
      <c r="N289" s="4">
        <f t="shared" si="8"/>
        <v>7.7113079999999998</v>
      </c>
      <c r="O289" s="4">
        <f t="shared" si="9"/>
        <v>5.2113079999999998</v>
      </c>
    </row>
    <row r="290" spans="1:15" ht="22.5" customHeight="1" x14ac:dyDescent="0.25">
      <c r="A290" s="2" t="s">
        <v>26</v>
      </c>
      <c r="B290" s="2" t="s">
        <v>27</v>
      </c>
      <c r="C290" s="3">
        <v>43831</v>
      </c>
      <c r="D290" s="3">
        <v>43831</v>
      </c>
      <c r="E290" s="2">
        <v>8531</v>
      </c>
      <c r="F290" s="2">
        <v>333</v>
      </c>
      <c r="G290" s="2">
        <v>2.12</v>
      </c>
      <c r="H290" s="6" t="s">
        <v>21</v>
      </c>
      <c r="I290" s="2">
        <v>932</v>
      </c>
      <c r="J290" s="2">
        <v>1.96</v>
      </c>
      <c r="K290" s="4">
        <f t="shared" si="5"/>
        <v>0.76922999999999997</v>
      </c>
      <c r="L290" s="4">
        <f t="shared" si="6"/>
        <v>3.8389500000000001</v>
      </c>
      <c r="M290" s="5">
        <f t="shared" si="7"/>
        <v>0.29637599999999997</v>
      </c>
      <c r="N290" s="4">
        <f t="shared" si="8"/>
        <v>4.9045559999999995</v>
      </c>
      <c r="O290" s="4">
        <f t="shared" si="9"/>
        <v>2.9445559999999995</v>
      </c>
    </row>
    <row r="291" spans="1:15" ht="22.5" customHeight="1" x14ac:dyDescent="0.25">
      <c r="A291" s="2" t="s">
        <v>26</v>
      </c>
      <c r="B291" s="2" t="s">
        <v>27</v>
      </c>
      <c r="C291" s="3">
        <v>43862</v>
      </c>
      <c r="D291" s="3">
        <v>43832</v>
      </c>
      <c r="E291" s="2">
        <v>6747</v>
      </c>
      <c r="F291" s="2">
        <v>371</v>
      </c>
      <c r="G291" s="2">
        <v>4.5599999999999996</v>
      </c>
      <c r="H291" s="6" t="s">
        <v>18</v>
      </c>
      <c r="I291" s="2">
        <v>632</v>
      </c>
      <c r="J291" s="2">
        <v>9.8800000000000008</v>
      </c>
      <c r="K291" s="4">
        <f t="shared" si="5"/>
        <v>0.85700999999999994</v>
      </c>
      <c r="L291" s="4">
        <f t="shared" si="6"/>
        <v>3.0361500000000001</v>
      </c>
      <c r="M291" s="5">
        <f t="shared" si="7"/>
        <v>1.7291519999999998</v>
      </c>
      <c r="N291" s="4">
        <f t="shared" si="8"/>
        <v>5.622312</v>
      </c>
      <c r="O291" s="4">
        <f t="shared" si="9"/>
        <v>-4.2576880000000008</v>
      </c>
    </row>
    <row r="292" spans="1:15" ht="22.5" customHeight="1" x14ac:dyDescent="0.25">
      <c r="A292" s="2" t="s">
        <v>26</v>
      </c>
      <c r="B292" s="2" t="s">
        <v>27</v>
      </c>
      <c r="C292" s="3">
        <v>43891</v>
      </c>
      <c r="D292" s="3">
        <v>43833</v>
      </c>
      <c r="E292" s="2">
        <v>5641</v>
      </c>
      <c r="F292" s="2">
        <v>525</v>
      </c>
      <c r="G292" s="2">
        <v>2.78</v>
      </c>
      <c r="H292" s="6" t="s">
        <v>20</v>
      </c>
      <c r="I292" s="2">
        <v>452</v>
      </c>
      <c r="J292" s="2">
        <v>4.58</v>
      </c>
      <c r="K292" s="4">
        <f t="shared" si="5"/>
        <v>1.21275</v>
      </c>
      <c r="L292" s="4">
        <f t="shared" si="6"/>
        <v>2.5384500000000001</v>
      </c>
      <c r="M292" s="5">
        <f t="shared" si="7"/>
        <v>2.5131199999999999E-2</v>
      </c>
      <c r="N292" s="4">
        <f t="shared" si="8"/>
        <v>3.7763312</v>
      </c>
      <c r="O292" s="4">
        <f t="shared" si="9"/>
        <v>-0.80366880000000007</v>
      </c>
    </row>
    <row r="293" spans="1:15" ht="22.5" customHeight="1" x14ac:dyDescent="0.25">
      <c r="A293" s="2" t="s">
        <v>26</v>
      </c>
      <c r="B293" s="2" t="s">
        <v>27</v>
      </c>
      <c r="C293" s="3">
        <v>43922</v>
      </c>
      <c r="D293" s="3">
        <v>43834</v>
      </c>
      <c r="E293" s="2">
        <v>3046</v>
      </c>
      <c r="F293" s="2">
        <v>622</v>
      </c>
      <c r="G293" s="2">
        <v>3.83</v>
      </c>
      <c r="H293" s="6" t="s">
        <v>21</v>
      </c>
      <c r="I293" s="2">
        <v>50</v>
      </c>
      <c r="J293" s="2">
        <v>5.84</v>
      </c>
      <c r="K293" s="4">
        <f t="shared" si="5"/>
        <v>1.43682</v>
      </c>
      <c r="L293" s="4">
        <f t="shared" si="6"/>
        <v>1.3707</v>
      </c>
      <c r="M293" s="5">
        <f t="shared" si="7"/>
        <v>2.8725000000000001E-2</v>
      </c>
      <c r="N293" s="4">
        <f t="shared" si="8"/>
        <v>2.8362450000000003</v>
      </c>
      <c r="O293" s="4">
        <f t="shared" si="9"/>
        <v>-3.0037549999999995</v>
      </c>
    </row>
    <row r="294" spans="1:15" ht="22.5" customHeight="1" x14ac:dyDescent="0.25">
      <c r="A294" s="2" t="s">
        <v>26</v>
      </c>
      <c r="B294" s="2" t="s">
        <v>27</v>
      </c>
      <c r="C294" s="3">
        <v>43952</v>
      </c>
      <c r="D294" s="3">
        <v>43835</v>
      </c>
      <c r="E294" s="2">
        <v>7817</v>
      </c>
      <c r="F294" s="2">
        <v>338</v>
      </c>
      <c r="G294" s="2">
        <v>8.5399999999999991</v>
      </c>
      <c r="H294" s="6" t="s">
        <v>18</v>
      </c>
      <c r="I294" s="2">
        <v>625</v>
      </c>
      <c r="J294" s="2">
        <v>9.0500000000000007</v>
      </c>
      <c r="K294" s="4">
        <f t="shared" si="5"/>
        <v>0.78077999999999992</v>
      </c>
      <c r="L294" s="4">
        <f t="shared" si="6"/>
        <v>3.5176500000000002</v>
      </c>
      <c r="M294" s="5">
        <f t="shared" si="7"/>
        <v>3.2024999999999997</v>
      </c>
      <c r="N294" s="4">
        <f t="shared" si="8"/>
        <v>7.5009299999999994</v>
      </c>
      <c r="O294" s="4">
        <f t="shared" si="9"/>
        <v>-1.5490700000000013</v>
      </c>
    </row>
    <row r="295" spans="1:15" ht="22.5" customHeight="1" x14ac:dyDescent="0.25">
      <c r="A295" s="2" t="s">
        <v>26</v>
      </c>
      <c r="B295" s="2" t="s">
        <v>27</v>
      </c>
      <c r="C295" s="3">
        <v>43983</v>
      </c>
      <c r="D295" s="3">
        <v>43836</v>
      </c>
      <c r="E295" s="2">
        <v>8068</v>
      </c>
      <c r="F295" s="2">
        <v>669</v>
      </c>
      <c r="G295" s="2">
        <v>1.77</v>
      </c>
      <c r="H295" s="6" t="s">
        <v>17</v>
      </c>
      <c r="I295" s="2">
        <v>65</v>
      </c>
      <c r="J295" s="2">
        <v>8.5299999999999994</v>
      </c>
      <c r="K295" s="4">
        <f t="shared" si="5"/>
        <v>1.54539</v>
      </c>
      <c r="L295" s="4">
        <f t="shared" si="6"/>
        <v>3.6305999999999998</v>
      </c>
      <c r="M295" s="5">
        <f t="shared" si="7"/>
        <v>3.4514999999999997E-3</v>
      </c>
      <c r="N295" s="4">
        <f t="shared" si="8"/>
        <v>5.1794414999999994</v>
      </c>
      <c r="O295" s="4">
        <f t="shared" si="9"/>
        <v>-3.3505585</v>
      </c>
    </row>
    <row r="296" spans="1:15" ht="22.5" customHeight="1" x14ac:dyDescent="0.25">
      <c r="A296" s="2" t="s">
        <v>26</v>
      </c>
      <c r="B296" s="2" t="s">
        <v>27</v>
      </c>
      <c r="C296" s="3">
        <v>44013</v>
      </c>
      <c r="D296" s="3">
        <v>43837</v>
      </c>
      <c r="E296" s="2">
        <v>6565</v>
      </c>
      <c r="F296" s="2">
        <v>797</v>
      </c>
      <c r="G296" s="2">
        <v>6.43</v>
      </c>
      <c r="H296" s="6" t="s">
        <v>18</v>
      </c>
      <c r="I296" s="2">
        <v>342</v>
      </c>
      <c r="J296" s="2">
        <v>2.83</v>
      </c>
      <c r="K296" s="4">
        <f t="shared" si="5"/>
        <v>1.84107</v>
      </c>
      <c r="L296" s="4">
        <f t="shared" si="6"/>
        <v>2.95425</v>
      </c>
      <c r="M296" s="5">
        <f t="shared" si="7"/>
        <v>1.3194359999999998</v>
      </c>
      <c r="N296" s="4">
        <f t="shared" si="8"/>
        <v>6.1147559999999999</v>
      </c>
      <c r="O296" s="4">
        <f t="shared" si="9"/>
        <v>3.2847559999999998</v>
      </c>
    </row>
    <row r="297" spans="1:15" ht="22.5" customHeight="1" x14ac:dyDescent="0.25">
      <c r="A297" s="2" t="s">
        <v>26</v>
      </c>
      <c r="B297" s="2" t="s">
        <v>27</v>
      </c>
      <c r="C297" s="3">
        <v>44044</v>
      </c>
      <c r="D297" s="3">
        <v>43838</v>
      </c>
      <c r="E297" s="2">
        <v>7007</v>
      </c>
      <c r="F297" s="2">
        <v>1022</v>
      </c>
      <c r="G297" s="2">
        <v>2.48</v>
      </c>
      <c r="H297" s="6" t="s">
        <v>20</v>
      </c>
      <c r="I297" s="2">
        <v>857</v>
      </c>
      <c r="J297" s="2">
        <v>3.06</v>
      </c>
      <c r="K297" s="4">
        <f t="shared" si="5"/>
        <v>2.3608200000000004</v>
      </c>
      <c r="L297" s="4">
        <f t="shared" si="6"/>
        <v>3.1531500000000001</v>
      </c>
      <c r="M297" s="5">
        <f t="shared" si="7"/>
        <v>4.2507200000000002E-2</v>
      </c>
      <c r="N297" s="4">
        <f t="shared" si="8"/>
        <v>5.5564772000000007</v>
      </c>
      <c r="O297" s="4">
        <f t="shared" si="9"/>
        <v>2.4964772000000006</v>
      </c>
    </row>
    <row r="298" spans="1:15" ht="22.5" customHeight="1" x14ac:dyDescent="0.25">
      <c r="A298" s="2" t="s">
        <v>26</v>
      </c>
      <c r="B298" s="2" t="s">
        <v>27</v>
      </c>
      <c r="C298" s="3">
        <v>44075</v>
      </c>
      <c r="D298" s="3">
        <v>43839</v>
      </c>
      <c r="E298" s="2">
        <v>4107</v>
      </c>
      <c r="F298" s="2">
        <v>581</v>
      </c>
      <c r="G298" s="2">
        <v>6.36</v>
      </c>
      <c r="H298" s="6" t="s">
        <v>17</v>
      </c>
      <c r="I298" s="2">
        <v>487</v>
      </c>
      <c r="J298" s="2">
        <v>0.73</v>
      </c>
      <c r="K298" s="4">
        <f t="shared" si="5"/>
        <v>1.3421100000000001</v>
      </c>
      <c r="L298" s="4">
        <f t="shared" si="6"/>
        <v>1.8481500000000002</v>
      </c>
      <c r="M298" s="5">
        <f t="shared" si="7"/>
        <v>9.2919600000000005E-2</v>
      </c>
      <c r="N298" s="4">
        <f t="shared" si="8"/>
        <v>3.2831796000000004</v>
      </c>
      <c r="O298" s="4">
        <f t="shared" si="9"/>
        <v>2.5531796000000004</v>
      </c>
    </row>
    <row r="299" spans="1:15" ht="22.5" customHeight="1" x14ac:dyDescent="0.25">
      <c r="A299" s="2" t="s">
        <v>26</v>
      </c>
      <c r="B299" s="2" t="s">
        <v>27</v>
      </c>
      <c r="C299" s="3">
        <v>44105</v>
      </c>
      <c r="D299" s="3">
        <v>43840</v>
      </c>
      <c r="E299" s="2">
        <v>4090</v>
      </c>
      <c r="F299" s="2">
        <v>301</v>
      </c>
      <c r="G299" s="2">
        <v>1.02</v>
      </c>
      <c r="H299" s="6" t="s">
        <v>18</v>
      </c>
      <c r="I299" s="2">
        <v>230</v>
      </c>
      <c r="J299" s="2">
        <v>4.79</v>
      </c>
      <c r="K299" s="4">
        <f t="shared" si="5"/>
        <v>0.69531000000000009</v>
      </c>
      <c r="L299" s="4">
        <f t="shared" si="6"/>
        <v>1.8405</v>
      </c>
      <c r="M299" s="5">
        <f t="shared" si="7"/>
        <v>0.14076</v>
      </c>
      <c r="N299" s="4">
        <f t="shared" si="8"/>
        <v>2.6765699999999999</v>
      </c>
      <c r="O299" s="4">
        <f t="shared" si="9"/>
        <v>-2.1134300000000001</v>
      </c>
    </row>
    <row r="300" spans="1:15" ht="22.5" customHeight="1" x14ac:dyDescent="0.25">
      <c r="A300" s="2" t="s">
        <v>26</v>
      </c>
      <c r="B300" s="2" t="s">
        <v>27</v>
      </c>
      <c r="C300" s="3">
        <v>44136</v>
      </c>
      <c r="D300" s="3">
        <v>43841</v>
      </c>
      <c r="E300" s="2">
        <v>3165</v>
      </c>
      <c r="F300" s="2">
        <v>848</v>
      </c>
      <c r="G300" s="2">
        <v>3.14</v>
      </c>
      <c r="H300" s="6" t="s">
        <v>17</v>
      </c>
      <c r="I300" s="2">
        <v>495</v>
      </c>
      <c r="J300" s="2">
        <v>9.65</v>
      </c>
      <c r="K300" s="4">
        <f t="shared" si="5"/>
        <v>1.9588800000000002</v>
      </c>
      <c r="L300" s="4">
        <f t="shared" si="6"/>
        <v>1.42425</v>
      </c>
      <c r="M300" s="5">
        <f t="shared" si="7"/>
        <v>4.6628999999999997E-2</v>
      </c>
      <c r="N300" s="4">
        <f t="shared" si="8"/>
        <v>3.4297590000000002</v>
      </c>
      <c r="O300" s="4">
        <f t="shared" si="9"/>
        <v>-6.2202409999999997</v>
      </c>
    </row>
    <row r="301" spans="1:15" ht="22.5" customHeight="1" x14ac:dyDescent="0.25">
      <c r="A301" s="2" t="s">
        <v>26</v>
      </c>
      <c r="B301" s="2" t="s">
        <v>27</v>
      </c>
      <c r="C301" s="3">
        <v>44166</v>
      </c>
      <c r="D301" s="3">
        <v>43842</v>
      </c>
      <c r="E301" s="2">
        <v>5916</v>
      </c>
      <c r="F301" s="2">
        <v>269</v>
      </c>
      <c r="G301" s="2">
        <v>7</v>
      </c>
      <c r="H301" s="6" t="s">
        <v>18</v>
      </c>
      <c r="I301" s="2">
        <v>249</v>
      </c>
      <c r="J301" s="2">
        <v>4.0199999999999996</v>
      </c>
      <c r="K301" s="4">
        <f t="shared" si="5"/>
        <v>0.62139</v>
      </c>
      <c r="L301" s="4">
        <f t="shared" si="6"/>
        <v>2.6622000000000003</v>
      </c>
      <c r="M301" s="5">
        <f t="shared" si="7"/>
        <v>1.0458000000000001</v>
      </c>
      <c r="N301" s="4">
        <f t="shared" si="8"/>
        <v>4.3293900000000001</v>
      </c>
      <c r="O301" s="4">
        <f t="shared" si="9"/>
        <v>0.3093900000000005</v>
      </c>
    </row>
    <row r="302" spans="1:15" ht="22.5" customHeight="1" x14ac:dyDescent="0.25">
      <c r="A302" s="2" t="s">
        <v>26</v>
      </c>
      <c r="B302" s="2" t="s">
        <v>27</v>
      </c>
      <c r="C302" s="3">
        <v>44197</v>
      </c>
      <c r="D302" s="3">
        <v>44197</v>
      </c>
      <c r="E302" s="2">
        <v>9936</v>
      </c>
      <c r="F302" s="2">
        <v>1135</v>
      </c>
      <c r="G302" s="2">
        <v>5.18</v>
      </c>
      <c r="H302" s="6" t="s">
        <v>20</v>
      </c>
      <c r="I302" s="2">
        <v>397</v>
      </c>
      <c r="J302" s="2">
        <v>1.84</v>
      </c>
      <c r="K302" s="4">
        <f t="shared" si="5"/>
        <v>2.6218499999999998</v>
      </c>
      <c r="L302" s="4">
        <f t="shared" si="6"/>
        <v>4.4711999999999996</v>
      </c>
      <c r="M302" s="5">
        <f t="shared" si="7"/>
        <v>4.1129199999999998E-2</v>
      </c>
      <c r="N302" s="4">
        <f t="shared" si="8"/>
        <v>7.1341792000000002</v>
      </c>
      <c r="O302" s="4">
        <f t="shared" si="9"/>
        <v>5.2941792000000003</v>
      </c>
    </row>
    <row r="303" spans="1:15" ht="22.5" customHeight="1" x14ac:dyDescent="0.25">
      <c r="A303" s="2" t="s">
        <v>26</v>
      </c>
      <c r="B303" s="2" t="s">
        <v>27</v>
      </c>
      <c r="C303" s="3">
        <v>44228</v>
      </c>
      <c r="D303" s="3">
        <v>44198</v>
      </c>
      <c r="E303" s="2">
        <v>4640</v>
      </c>
      <c r="F303" s="2">
        <v>1197</v>
      </c>
      <c r="G303" s="2">
        <v>9</v>
      </c>
      <c r="H303" s="6" t="s">
        <v>21</v>
      </c>
      <c r="I303" s="2">
        <v>487</v>
      </c>
      <c r="J303" s="2">
        <v>0.41</v>
      </c>
      <c r="K303" s="4">
        <f t="shared" si="5"/>
        <v>2.7650700000000001</v>
      </c>
      <c r="L303" s="4">
        <f t="shared" si="6"/>
        <v>2.0880000000000001</v>
      </c>
      <c r="M303" s="5">
        <f t="shared" si="7"/>
        <v>0.65744999999999998</v>
      </c>
      <c r="N303" s="4">
        <f t="shared" si="8"/>
        <v>5.5105200000000005</v>
      </c>
      <c r="O303" s="4">
        <f t="shared" si="9"/>
        <v>5.1005200000000004</v>
      </c>
    </row>
    <row r="304" spans="1:15" ht="22.5" customHeight="1" x14ac:dyDescent="0.25">
      <c r="A304" s="2" t="s">
        <v>26</v>
      </c>
      <c r="B304" s="2" t="s">
        <v>27</v>
      </c>
      <c r="C304" s="3">
        <v>44256</v>
      </c>
      <c r="D304" s="3">
        <v>44199</v>
      </c>
      <c r="E304" s="2">
        <v>5561</v>
      </c>
      <c r="F304" s="2">
        <v>813</v>
      </c>
      <c r="G304" s="2">
        <v>3.95</v>
      </c>
      <c r="H304" s="6" t="s">
        <v>21</v>
      </c>
      <c r="I304" s="2">
        <v>522</v>
      </c>
      <c r="J304" s="2">
        <v>7.13</v>
      </c>
      <c r="K304" s="4">
        <f t="shared" si="5"/>
        <v>1.8780299999999999</v>
      </c>
      <c r="L304" s="4">
        <f t="shared" si="6"/>
        <v>2.5024500000000001</v>
      </c>
      <c r="M304" s="5">
        <f t="shared" si="7"/>
        <v>0.30928500000000003</v>
      </c>
      <c r="N304" s="4">
        <f t="shared" si="8"/>
        <v>4.6897650000000004</v>
      </c>
      <c r="O304" s="4">
        <f t="shared" si="9"/>
        <v>-2.4402349999999995</v>
      </c>
    </row>
    <row r="305" spans="1:15" ht="22.5" customHeight="1" x14ac:dyDescent="0.25">
      <c r="A305" s="2" t="s">
        <v>26</v>
      </c>
      <c r="B305" s="2" t="s">
        <v>27</v>
      </c>
      <c r="C305" s="3">
        <v>44287</v>
      </c>
      <c r="D305" s="3">
        <v>44200</v>
      </c>
      <c r="E305" s="2">
        <v>9677</v>
      </c>
      <c r="F305" s="2">
        <v>298</v>
      </c>
      <c r="G305" s="2">
        <v>2.72</v>
      </c>
      <c r="H305" s="6" t="s">
        <v>20</v>
      </c>
      <c r="I305" s="2">
        <v>985</v>
      </c>
      <c r="J305" s="2">
        <v>5.49</v>
      </c>
      <c r="K305" s="4">
        <f t="shared" si="5"/>
        <v>0.68837999999999999</v>
      </c>
      <c r="L305" s="4">
        <f t="shared" si="6"/>
        <v>4.3546500000000004</v>
      </c>
      <c r="M305" s="5">
        <f t="shared" si="7"/>
        <v>5.3584000000000007E-2</v>
      </c>
      <c r="N305" s="4">
        <f t="shared" si="8"/>
        <v>5.0966139999999998</v>
      </c>
      <c r="O305" s="4">
        <f t="shared" si="9"/>
        <v>-0.39338600000000046</v>
      </c>
    </row>
    <row r="306" spans="1:15" ht="22.5" customHeight="1" x14ac:dyDescent="0.25">
      <c r="A306" s="2" t="s">
        <v>26</v>
      </c>
      <c r="B306" s="2" t="s">
        <v>27</v>
      </c>
      <c r="C306" s="3">
        <v>44317</v>
      </c>
      <c r="D306" s="3">
        <v>44201</v>
      </c>
      <c r="E306" s="2">
        <v>6830</v>
      </c>
      <c r="F306" s="2">
        <v>626</v>
      </c>
      <c r="G306" s="2">
        <v>1.07</v>
      </c>
      <c r="H306" s="6" t="s">
        <v>18</v>
      </c>
      <c r="I306" s="2">
        <v>275</v>
      </c>
      <c r="J306" s="2">
        <v>5.89</v>
      </c>
      <c r="K306" s="4">
        <f t="shared" si="5"/>
        <v>1.4460599999999999</v>
      </c>
      <c r="L306" s="4">
        <f t="shared" si="6"/>
        <v>3.0735000000000001</v>
      </c>
      <c r="M306" s="5">
        <f t="shared" si="7"/>
        <v>0.17655000000000001</v>
      </c>
      <c r="N306" s="4">
        <f t="shared" si="8"/>
        <v>4.69611</v>
      </c>
      <c r="O306" s="4">
        <f t="shared" si="9"/>
        <v>-1.1938899999999997</v>
      </c>
    </row>
    <row r="307" spans="1:15" ht="22.5" customHeight="1" x14ac:dyDescent="0.25">
      <c r="A307" s="2" t="s">
        <v>26</v>
      </c>
      <c r="B307" s="2" t="s">
        <v>27</v>
      </c>
      <c r="C307" s="3">
        <v>44348</v>
      </c>
      <c r="D307" s="3">
        <v>44202</v>
      </c>
      <c r="E307" s="2">
        <v>8710</v>
      </c>
      <c r="F307" s="2">
        <v>257</v>
      </c>
      <c r="G307" s="2">
        <v>4.37</v>
      </c>
      <c r="H307" s="6" t="s">
        <v>18</v>
      </c>
      <c r="I307" s="2">
        <v>924</v>
      </c>
      <c r="J307" s="2">
        <v>5.46</v>
      </c>
      <c r="K307" s="4">
        <f t="shared" si="5"/>
        <v>0.59366999999999992</v>
      </c>
      <c r="L307" s="4">
        <f t="shared" si="6"/>
        <v>3.9195000000000002</v>
      </c>
      <c r="M307" s="5">
        <f t="shared" si="7"/>
        <v>2.4227280000000002</v>
      </c>
      <c r="N307" s="4">
        <f t="shared" si="8"/>
        <v>6.9358980000000008</v>
      </c>
      <c r="O307" s="4">
        <f t="shared" si="9"/>
        <v>1.4758980000000008</v>
      </c>
    </row>
    <row r="308" spans="1:15" ht="22.5" customHeight="1" x14ac:dyDescent="0.25">
      <c r="A308" s="2" t="s">
        <v>26</v>
      </c>
      <c r="B308" s="2" t="s">
        <v>27</v>
      </c>
      <c r="C308" s="3">
        <v>44378</v>
      </c>
      <c r="D308" s="3">
        <v>44203</v>
      </c>
      <c r="E308" s="2">
        <v>5557</v>
      </c>
      <c r="F308" s="2">
        <v>817</v>
      </c>
      <c r="G308" s="2">
        <v>7.04</v>
      </c>
      <c r="H308" s="6" t="s">
        <v>21</v>
      </c>
      <c r="I308" s="2">
        <v>677</v>
      </c>
      <c r="J308" s="2">
        <v>8.5399999999999991</v>
      </c>
      <c r="K308" s="4">
        <f t="shared" si="5"/>
        <v>1.88727</v>
      </c>
      <c r="L308" s="4">
        <f t="shared" si="6"/>
        <v>2.5006500000000003</v>
      </c>
      <c r="M308" s="5">
        <f t="shared" si="7"/>
        <v>0.71491199999999999</v>
      </c>
      <c r="N308" s="4">
        <f t="shared" si="8"/>
        <v>5.1028320000000003</v>
      </c>
      <c r="O308" s="4">
        <f t="shared" si="9"/>
        <v>-3.4371679999999989</v>
      </c>
    </row>
    <row r="309" spans="1:15" ht="22.5" customHeight="1" x14ac:dyDescent="0.25">
      <c r="A309" s="2" t="s">
        <v>26</v>
      </c>
      <c r="B309" s="2" t="s">
        <v>27</v>
      </c>
      <c r="C309" s="3">
        <v>44409</v>
      </c>
      <c r="D309" s="3">
        <v>44204</v>
      </c>
      <c r="E309" s="2">
        <v>5881</v>
      </c>
      <c r="F309" s="2">
        <v>1103</v>
      </c>
      <c r="G309" s="2">
        <v>3.64</v>
      </c>
      <c r="H309" s="6" t="s">
        <v>18</v>
      </c>
      <c r="I309" s="2">
        <v>197</v>
      </c>
      <c r="J309" s="2">
        <v>0.81</v>
      </c>
      <c r="K309" s="4">
        <f t="shared" si="5"/>
        <v>2.54793</v>
      </c>
      <c r="L309" s="4">
        <f t="shared" si="6"/>
        <v>2.6464500000000002</v>
      </c>
      <c r="M309" s="5">
        <f t="shared" si="7"/>
        <v>0.43024799999999996</v>
      </c>
      <c r="N309" s="4">
        <f t="shared" si="8"/>
        <v>5.6246280000000004</v>
      </c>
      <c r="O309" s="4">
        <f t="shared" si="9"/>
        <v>4.8146280000000008</v>
      </c>
    </row>
    <row r="310" spans="1:15" ht="22.5" customHeight="1" x14ac:dyDescent="0.25">
      <c r="A310" s="2" t="s">
        <v>26</v>
      </c>
      <c r="B310" s="2" t="s">
        <v>27</v>
      </c>
      <c r="C310" s="3">
        <v>44440</v>
      </c>
      <c r="D310" s="3">
        <v>44205</v>
      </c>
      <c r="E310" s="2">
        <v>7283</v>
      </c>
      <c r="F310" s="2">
        <v>1129</v>
      </c>
      <c r="G310" s="2">
        <v>5.08</v>
      </c>
      <c r="H310" s="6" t="s">
        <v>17</v>
      </c>
      <c r="I310" s="2">
        <v>785</v>
      </c>
      <c r="J310" s="2">
        <v>1.6</v>
      </c>
      <c r="K310" s="4">
        <f t="shared" si="5"/>
        <v>2.60799</v>
      </c>
      <c r="L310" s="4">
        <f t="shared" si="6"/>
        <v>3.2773499999999998</v>
      </c>
      <c r="M310" s="5">
        <f t="shared" si="7"/>
        <v>0.119634</v>
      </c>
      <c r="N310" s="4">
        <f t="shared" si="8"/>
        <v>6.0049739999999989</v>
      </c>
      <c r="O310" s="4">
        <f t="shared" si="9"/>
        <v>4.4049739999999993</v>
      </c>
    </row>
    <row r="311" spans="1:15" ht="22.5" customHeight="1" x14ac:dyDescent="0.25">
      <c r="A311" s="2" t="s">
        <v>26</v>
      </c>
      <c r="B311" s="2" t="s">
        <v>27</v>
      </c>
      <c r="C311" s="3">
        <v>44470</v>
      </c>
      <c r="D311" s="3">
        <v>44206</v>
      </c>
      <c r="E311" s="2">
        <v>6442</v>
      </c>
      <c r="F311" s="2">
        <v>665</v>
      </c>
      <c r="G311" s="2">
        <v>1.05</v>
      </c>
      <c r="H311" s="6" t="s">
        <v>20</v>
      </c>
      <c r="I311" s="2">
        <v>467</v>
      </c>
      <c r="J311" s="2">
        <v>7.93</v>
      </c>
      <c r="K311" s="4">
        <f t="shared" si="5"/>
        <v>1.5361500000000001</v>
      </c>
      <c r="L311" s="4">
        <f t="shared" si="6"/>
        <v>2.8989000000000003</v>
      </c>
      <c r="M311" s="5">
        <f t="shared" si="7"/>
        <v>9.8069999999999997E-3</v>
      </c>
      <c r="N311" s="4">
        <f t="shared" si="8"/>
        <v>4.4448570000000007</v>
      </c>
      <c r="O311" s="4">
        <f t="shared" si="9"/>
        <v>-3.485142999999999</v>
      </c>
    </row>
    <row r="312" spans="1:15" ht="22.5" customHeight="1" x14ac:dyDescent="0.25">
      <c r="A312" s="2" t="s">
        <v>26</v>
      </c>
      <c r="B312" s="2" t="s">
        <v>27</v>
      </c>
      <c r="C312" s="3">
        <v>44501</v>
      </c>
      <c r="D312" s="3">
        <v>44207</v>
      </c>
      <c r="E312" s="2">
        <v>8537</v>
      </c>
      <c r="F312" s="2">
        <v>361</v>
      </c>
      <c r="G312" s="2">
        <v>3.23</v>
      </c>
      <c r="H312" s="6" t="s">
        <v>20</v>
      </c>
      <c r="I312" s="2">
        <v>464</v>
      </c>
      <c r="J312" s="2">
        <v>5.37</v>
      </c>
      <c r="K312" s="4">
        <f t="shared" si="5"/>
        <v>0.83390999999999993</v>
      </c>
      <c r="L312" s="4">
        <f t="shared" si="6"/>
        <v>3.84165</v>
      </c>
      <c r="M312" s="5">
        <f t="shared" si="7"/>
        <v>2.9974399999999998E-2</v>
      </c>
      <c r="N312" s="4">
        <f t="shared" si="8"/>
        <v>4.7055344000000003</v>
      </c>
      <c r="O312" s="4">
        <f t="shared" si="9"/>
        <v>-0.66446559999999977</v>
      </c>
    </row>
    <row r="313" spans="1:15" ht="22.5" customHeight="1" x14ac:dyDescent="0.25">
      <c r="A313" s="2" t="s">
        <v>26</v>
      </c>
      <c r="B313" s="2" t="s">
        <v>27</v>
      </c>
      <c r="C313" s="3">
        <v>44531</v>
      </c>
      <c r="D313" s="3">
        <v>44208</v>
      </c>
      <c r="E313" s="2">
        <v>5566</v>
      </c>
      <c r="F313" s="2">
        <v>389</v>
      </c>
      <c r="G313" s="2">
        <v>2.87</v>
      </c>
      <c r="H313" s="6" t="s">
        <v>17</v>
      </c>
      <c r="I313" s="2">
        <v>885</v>
      </c>
      <c r="J313" s="2">
        <v>4.47</v>
      </c>
      <c r="K313" s="4">
        <f t="shared" si="5"/>
        <v>0.89859</v>
      </c>
      <c r="L313" s="4">
        <f t="shared" si="6"/>
        <v>2.5047000000000001</v>
      </c>
      <c r="M313" s="5">
        <f t="shared" si="7"/>
        <v>7.6198500000000016E-2</v>
      </c>
      <c r="N313" s="4">
        <f t="shared" si="8"/>
        <v>3.4794885</v>
      </c>
      <c r="O313" s="4">
        <f t="shared" si="9"/>
        <v>-0.99051149999999977</v>
      </c>
    </row>
    <row r="314" spans="1:15" ht="22.5" customHeight="1" x14ac:dyDescent="0.25">
      <c r="A314" s="2" t="s">
        <v>26</v>
      </c>
      <c r="B314" s="2" t="s">
        <v>27</v>
      </c>
      <c r="C314" s="3">
        <v>44562</v>
      </c>
      <c r="D314" s="3">
        <v>44562</v>
      </c>
      <c r="E314" s="2">
        <v>9765</v>
      </c>
      <c r="F314" s="2">
        <v>931</v>
      </c>
      <c r="G314" s="2">
        <v>2.84</v>
      </c>
      <c r="H314" s="6" t="s">
        <v>20</v>
      </c>
      <c r="I314" s="2">
        <v>170</v>
      </c>
      <c r="J314" s="2">
        <v>5.79</v>
      </c>
      <c r="K314" s="4">
        <f t="shared" si="5"/>
        <v>2.1506099999999999</v>
      </c>
      <c r="L314" s="4">
        <f t="shared" si="6"/>
        <v>4.3942500000000004</v>
      </c>
      <c r="M314" s="5">
        <f t="shared" si="7"/>
        <v>9.6559999999999997E-3</v>
      </c>
      <c r="N314" s="4">
        <f t="shared" si="8"/>
        <v>6.5545159999999996</v>
      </c>
      <c r="O314" s="4">
        <f t="shared" si="9"/>
        <v>0.76451599999999953</v>
      </c>
    </row>
    <row r="315" spans="1:15" ht="22.5" customHeight="1" x14ac:dyDescent="0.25">
      <c r="A315" s="2" t="s">
        <v>26</v>
      </c>
      <c r="B315" s="2" t="s">
        <v>27</v>
      </c>
      <c r="C315" s="3">
        <v>44593</v>
      </c>
      <c r="D315" s="3">
        <v>44563</v>
      </c>
      <c r="E315" s="2">
        <v>8954</v>
      </c>
      <c r="F315" s="2">
        <v>833</v>
      </c>
      <c r="G315" s="2">
        <v>2.92</v>
      </c>
      <c r="H315" s="6" t="s">
        <v>20</v>
      </c>
      <c r="I315" s="2">
        <v>699</v>
      </c>
      <c r="J315" s="2">
        <v>9.98</v>
      </c>
      <c r="K315" s="4">
        <f t="shared" si="5"/>
        <v>1.9242300000000001</v>
      </c>
      <c r="L315" s="4">
        <f t="shared" si="6"/>
        <v>4.0293000000000001</v>
      </c>
      <c r="M315" s="5">
        <f t="shared" si="7"/>
        <v>4.0821600000000006E-2</v>
      </c>
      <c r="N315" s="4">
        <f t="shared" si="8"/>
        <v>5.9943516000000008</v>
      </c>
      <c r="O315" s="4">
        <f t="shared" si="9"/>
        <v>-3.9856483999999996</v>
      </c>
    </row>
    <row r="316" spans="1:15" ht="22.5" customHeight="1" x14ac:dyDescent="0.25">
      <c r="A316" s="2" t="s">
        <v>26</v>
      </c>
      <c r="B316" s="2" t="s">
        <v>27</v>
      </c>
      <c r="C316" s="3">
        <v>44621</v>
      </c>
      <c r="D316" s="3">
        <v>44564</v>
      </c>
      <c r="E316" s="2">
        <v>7065</v>
      </c>
      <c r="F316" s="2">
        <v>1037</v>
      </c>
      <c r="G316" s="2">
        <v>5.25</v>
      </c>
      <c r="H316" s="6" t="s">
        <v>21</v>
      </c>
      <c r="I316" s="2">
        <v>753</v>
      </c>
      <c r="J316" s="2">
        <v>7.09</v>
      </c>
      <c r="K316" s="4">
        <f t="shared" si="5"/>
        <v>2.3954700000000004</v>
      </c>
      <c r="L316" s="4">
        <f t="shared" si="6"/>
        <v>3.1792500000000001</v>
      </c>
      <c r="M316" s="5">
        <f t="shared" si="7"/>
        <v>0.59298750000000011</v>
      </c>
      <c r="N316" s="4">
        <f t="shared" si="8"/>
        <v>6.1677075000000015</v>
      </c>
      <c r="O316" s="4">
        <f t="shared" si="9"/>
        <v>-0.92229249999999841</v>
      </c>
    </row>
    <row r="317" spans="1:15" ht="22.5" customHeight="1" x14ac:dyDescent="0.25">
      <c r="A317" s="2" t="s">
        <v>26</v>
      </c>
      <c r="B317" s="2" t="s">
        <v>27</v>
      </c>
      <c r="C317" s="3">
        <v>44652</v>
      </c>
      <c r="D317" s="3">
        <v>44565</v>
      </c>
      <c r="E317" s="2">
        <v>3720</v>
      </c>
      <c r="F317" s="2">
        <v>804</v>
      </c>
      <c r="G317" s="2">
        <v>5.29</v>
      </c>
      <c r="H317" s="6" t="s">
        <v>20</v>
      </c>
      <c r="I317" s="2">
        <v>529</v>
      </c>
      <c r="J317" s="2">
        <v>2.72</v>
      </c>
      <c r="K317" s="4">
        <f t="shared" si="5"/>
        <v>1.85724</v>
      </c>
      <c r="L317" s="4">
        <f t="shared" si="6"/>
        <v>1.6739999999999999</v>
      </c>
      <c r="M317" s="5">
        <f t="shared" si="7"/>
        <v>5.5968200000000003E-2</v>
      </c>
      <c r="N317" s="4">
        <f t="shared" si="8"/>
        <v>3.5872082000000001</v>
      </c>
      <c r="O317" s="4">
        <f t="shared" si="9"/>
        <v>0.86720819999999987</v>
      </c>
    </row>
    <row r="318" spans="1:15" ht="22.5" customHeight="1" x14ac:dyDescent="0.25">
      <c r="A318" s="2" t="s">
        <v>26</v>
      </c>
      <c r="B318" s="2" t="s">
        <v>27</v>
      </c>
      <c r="C318" s="3">
        <v>44682</v>
      </c>
      <c r="D318" s="3">
        <v>44566</v>
      </c>
      <c r="E318" s="2">
        <v>3628</v>
      </c>
      <c r="F318" s="2">
        <v>643</v>
      </c>
      <c r="G318" s="2">
        <v>1.66</v>
      </c>
      <c r="H318" s="6" t="s">
        <v>18</v>
      </c>
      <c r="I318" s="2">
        <v>909</v>
      </c>
      <c r="J318" s="2">
        <v>2.4</v>
      </c>
      <c r="K318" s="4">
        <f t="shared" si="5"/>
        <v>1.4853299999999998</v>
      </c>
      <c r="L318" s="4">
        <f t="shared" si="6"/>
        <v>1.6326000000000001</v>
      </c>
      <c r="M318" s="5">
        <f t="shared" si="7"/>
        <v>0.90536399999999995</v>
      </c>
      <c r="N318" s="4">
        <f t="shared" si="8"/>
        <v>4.0232939999999999</v>
      </c>
      <c r="O318" s="4">
        <f t="shared" si="9"/>
        <v>1.623294</v>
      </c>
    </row>
    <row r="319" spans="1:15" ht="22.5" customHeight="1" x14ac:dyDescent="0.25">
      <c r="A319" s="2" t="s">
        <v>26</v>
      </c>
      <c r="B319" s="2" t="s">
        <v>27</v>
      </c>
      <c r="C319" s="3">
        <v>44713</v>
      </c>
      <c r="D319" s="3">
        <v>44567</v>
      </c>
      <c r="E319" s="2">
        <v>7100</v>
      </c>
      <c r="F319" s="2">
        <v>317</v>
      </c>
      <c r="G319" s="2">
        <v>4.4000000000000004</v>
      </c>
      <c r="H319" s="6" t="s">
        <v>18</v>
      </c>
      <c r="I319" s="2">
        <v>508</v>
      </c>
      <c r="J319" s="2">
        <v>6.2</v>
      </c>
      <c r="K319" s="4">
        <f t="shared" si="5"/>
        <v>0.73226999999999998</v>
      </c>
      <c r="L319" s="4">
        <f t="shared" si="6"/>
        <v>3.1949999999999998</v>
      </c>
      <c r="M319" s="5">
        <f t="shared" si="7"/>
        <v>1.3411200000000001</v>
      </c>
      <c r="N319" s="4">
        <f t="shared" si="8"/>
        <v>5.2683900000000001</v>
      </c>
      <c r="O319" s="4">
        <f t="shared" si="9"/>
        <v>-0.93161000000000005</v>
      </c>
    </row>
    <row r="320" spans="1:15" ht="22.5" customHeight="1" x14ac:dyDescent="0.25">
      <c r="A320" s="2" t="s">
        <v>26</v>
      </c>
      <c r="B320" s="2" t="s">
        <v>27</v>
      </c>
      <c r="C320" s="3">
        <v>44743</v>
      </c>
      <c r="D320" s="3">
        <v>44568</v>
      </c>
      <c r="E320" s="2">
        <v>7786</v>
      </c>
      <c r="F320" s="2">
        <v>1028</v>
      </c>
      <c r="G320" s="2">
        <v>4.8</v>
      </c>
      <c r="H320" s="6" t="s">
        <v>21</v>
      </c>
      <c r="I320" s="2">
        <v>95</v>
      </c>
      <c r="J320" s="2">
        <v>6.59</v>
      </c>
      <c r="K320" s="4">
        <f t="shared" si="5"/>
        <v>2.3746799999999997</v>
      </c>
      <c r="L320" s="4">
        <f t="shared" si="6"/>
        <v>3.5037000000000003</v>
      </c>
      <c r="M320" s="5">
        <f t="shared" si="7"/>
        <v>6.8399999999999989E-2</v>
      </c>
      <c r="N320" s="4">
        <f t="shared" si="8"/>
        <v>5.9467799999999995</v>
      </c>
      <c r="O320" s="4">
        <f t="shared" si="9"/>
        <v>-0.64322000000000035</v>
      </c>
    </row>
    <row r="321" spans="1:15" ht="22.5" customHeight="1" x14ac:dyDescent="0.25">
      <c r="A321" s="2" t="s">
        <v>26</v>
      </c>
      <c r="B321" s="2" t="s">
        <v>27</v>
      </c>
      <c r="C321" s="3">
        <v>44774</v>
      </c>
      <c r="D321" s="3">
        <v>44569</v>
      </c>
      <c r="E321" s="2">
        <v>5568</v>
      </c>
      <c r="F321" s="2">
        <v>544</v>
      </c>
      <c r="G321" s="2">
        <v>7.03</v>
      </c>
      <c r="H321" s="6" t="s">
        <v>18</v>
      </c>
      <c r="I321" s="2">
        <v>934</v>
      </c>
      <c r="J321" s="2">
        <v>2.17</v>
      </c>
      <c r="K321" s="4">
        <f t="shared" si="5"/>
        <v>1.2566400000000002</v>
      </c>
      <c r="L321" s="4">
        <f t="shared" si="6"/>
        <v>2.5055999999999998</v>
      </c>
      <c r="M321" s="5">
        <f t="shared" si="7"/>
        <v>3.9396119999999999</v>
      </c>
      <c r="N321" s="4">
        <f t="shared" si="8"/>
        <v>7.7018520000000006</v>
      </c>
      <c r="O321" s="4">
        <f t="shared" si="9"/>
        <v>5.5318520000000007</v>
      </c>
    </row>
    <row r="322" spans="1:15" ht="22.5" customHeight="1" x14ac:dyDescent="0.25">
      <c r="A322" s="2" t="s">
        <v>26</v>
      </c>
      <c r="B322" s="2" t="s">
        <v>27</v>
      </c>
      <c r="C322" s="3">
        <v>44805</v>
      </c>
      <c r="D322" s="3">
        <v>44570</v>
      </c>
      <c r="E322" s="2">
        <v>4628</v>
      </c>
      <c r="F322" s="2">
        <v>1048</v>
      </c>
      <c r="G322" s="2">
        <v>8.4</v>
      </c>
      <c r="H322" s="6" t="s">
        <v>21</v>
      </c>
      <c r="I322" s="2">
        <v>929</v>
      </c>
      <c r="J322" s="2">
        <v>1.94</v>
      </c>
      <c r="K322" s="4">
        <f t="shared" si="5"/>
        <v>2.4208799999999999</v>
      </c>
      <c r="L322" s="4">
        <f t="shared" si="6"/>
        <v>2.0825999999999998</v>
      </c>
      <c r="M322" s="5">
        <f t="shared" si="7"/>
        <v>1.1705399999999999</v>
      </c>
      <c r="N322" s="4">
        <f t="shared" si="8"/>
        <v>5.6740199999999996</v>
      </c>
      <c r="O322" s="4">
        <f t="shared" si="9"/>
        <v>3.7340199999999997</v>
      </c>
    </row>
    <row r="323" spans="1:15" ht="22.5" customHeight="1" x14ac:dyDescent="0.25">
      <c r="A323" s="2" t="s">
        <v>26</v>
      </c>
      <c r="B323" s="2" t="s">
        <v>27</v>
      </c>
      <c r="C323" s="3">
        <v>44835</v>
      </c>
      <c r="D323" s="3">
        <v>44571</v>
      </c>
      <c r="E323" s="2">
        <v>6088</v>
      </c>
      <c r="F323" s="2">
        <v>333</v>
      </c>
      <c r="G323" s="2">
        <v>1.8</v>
      </c>
      <c r="H323" s="6" t="s">
        <v>18</v>
      </c>
      <c r="I323" s="2">
        <v>917</v>
      </c>
      <c r="J323" s="2">
        <v>6.45</v>
      </c>
      <c r="K323" s="4">
        <f t="shared" si="5"/>
        <v>0.76922999999999997</v>
      </c>
      <c r="L323" s="4">
        <f t="shared" si="6"/>
        <v>2.7395999999999998</v>
      </c>
      <c r="M323" s="5">
        <f t="shared" si="7"/>
        <v>0.99035999999999991</v>
      </c>
      <c r="N323" s="4">
        <f t="shared" si="8"/>
        <v>4.4991899999999996</v>
      </c>
      <c r="O323" s="4">
        <f t="shared" si="9"/>
        <v>-1.9508100000000006</v>
      </c>
    </row>
    <row r="324" spans="1:15" ht="22.5" customHeight="1" x14ac:dyDescent="0.25">
      <c r="A324" s="2" t="s">
        <v>26</v>
      </c>
      <c r="B324" s="2" t="s">
        <v>27</v>
      </c>
      <c r="C324" s="3">
        <v>44866</v>
      </c>
      <c r="D324" s="3">
        <v>44572</v>
      </c>
      <c r="E324" s="2">
        <v>7785</v>
      </c>
      <c r="F324" s="2">
        <v>657</v>
      </c>
      <c r="G324" s="2">
        <v>8.35</v>
      </c>
      <c r="H324" s="6" t="s">
        <v>18</v>
      </c>
      <c r="I324" s="2">
        <v>751</v>
      </c>
      <c r="J324" s="2">
        <v>2.42</v>
      </c>
      <c r="K324" s="4">
        <f t="shared" si="5"/>
        <v>1.5176700000000001</v>
      </c>
      <c r="L324" s="4">
        <f t="shared" si="6"/>
        <v>3.50325</v>
      </c>
      <c r="M324" s="5">
        <f t="shared" si="7"/>
        <v>3.7625099999999998</v>
      </c>
      <c r="N324" s="4">
        <f t="shared" si="8"/>
        <v>8.7834299999999992</v>
      </c>
      <c r="O324" s="4">
        <f t="shared" si="9"/>
        <v>6.3634299999999993</v>
      </c>
    </row>
    <row r="325" spans="1:15" ht="22.5" customHeight="1" x14ac:dyDescent="0.25">
      <c r="A325" s="2" t="s">
        <v>26</v>
      </c>
      <c r="B325" s="2" t="s">
        <v>27</v>
      </c>
      <c r="C325" s="3">
        <v>44896</v>
      </c>
      <c r="D325" s="3">
        <v>44573</v>
      </c>
      <c r="E325" s="2">
        <v>3257</v>
      </c>
      <c r="F325" s="2">
        <v>405</v>
      </c>
      <c r="G325" s="2">
        <v>1.31</v>
      </c>
      <c r="H325" s="6" t="s">
        <v>21</v>
      </c>
      <c r="I325" s="2">
        <v>868</v>
      </c>
      <c r="J325" s="2">
        <v>8.3800000000000008</v>
      </c>
      <c r="K325" s="4">
        <f t="shared" si="5"/>
        <v>0.9355500000000001</v>
      </c>
      <c r="L325" s="4">
        <f t="shared" si="6"/>
        <v>1.4656500000000001</v>
      </c>
      <c r="M325" s="5">
        <f t="shared" si="7"/>
        <v>0.17056199999999999</v>
      </c>
      <c r="N325" s="4">
        <f t="shared" si="8"/>
        <v>2.5717620000000001</v>
      </c>
      <c r="O325" s="4">
        <f t="shared" si="9"/>
        <v>-5.8082380000000011</v>
      </c>
    </row>
    <row r="326" spans="1:15" ht="22.5" customHeight="1" x14ac:dyDescent="0.25">
      <c r="A326" s="2" t="s">
        <v>26</v>
      </c>
      <c r="B326" s="2" t="s">
        <v>27</v>
      </c>
      <c r="C326" s="3">
        <v>44927</v>
      </c>
      <c r="D326" s="3">
        <v>44927</v>
      </c>
      <c r="E326" s="2">
        <v>7029</v>
      </c>
      <c r="F326" s="2">
        <v>713</v>
      </c>
      <c r="G326" s="2">
        <v>4.7699999999999996</v>
      </c>
      <c r="H326" s="6" t="s">
        <v>18</v>
      </c>
      <c r="I326" s="2">
        <v>696</v>
      </c>
      <c r="J326" s="2">
        <v>8.61</v>
      </c>
      <c r="K326" s="4">
        <f t="shared" si="5"/>
        <v>1.64703</v>
      </c>
      <c r="L326" s="4">
        <f t="shared" si="6"/>
        <v>3.1630500000000001</v>
      </c>
      <c r="M326" s="5">
        <f t="shared" si="7"/>
        <v>1.9919519999999997</v>
      </c>
      <c r="N326" s="4">
        <f t="shared" si="8"/>
        <v>6.8020319999999996</v>
      </c>
      <c r="O326" s="4">
        <f t="shared" si="9"/>
        <v>-1.8079679999999998</v>
      </c>
    </row>
    <row r="327" spans="1:15" ht="22.5" customHeight="1" x14ac:dyDescent="0.25">
      <c r="A327" s="2" t="s">
        <v>26</v>
      </c>
      <c r="B327" s="2" t="s">
        <v>27</v>
      </c>
      <c r="C327" s="3">
        <v>44958</v>
      </c>
      <c r="D327" s="3">
        <v>44928</v>
      </c>
      <c r="E327" s="2">
        <v>9268</v>
      </c>
      <c r="F327" s="2">
        <v>462</v>
      </c>
      <c r="G327" s="2">
        <v>8.2899999999999991</v>
      </c>
      <c r="H327" s="6" t="s">
        <v>21</v>
      </c>
      <c r="I327" s="2">
        <v>608</v>
      </c>
      <c r="J327" s="2">
        <v>6.88</v>
      </c>
      <c r="K327" s="4">
        <f t="shared" si="5"/>
        <v>1.0672200000000001</v>
      </c>
      <c r="L327" s="4">
        <f t="shared" si="6"/>
        <v>4.1706000000000003</v>
      </c>
      <c r="M327" s="5">
        <f t="shared" si="7"/>
        <v>0.75604800000000005</v>
      </c>
      <c r="N327" s="4">
        <f t="shared" si="8"/>
        <v>5.993868</v>
      </c>
      <c r="O327" s="4">
        <f t="shared" si="9"/>
        <v>-0.88613199999999992</v>
      </c>
    </row>
    <row r="328" spans="1:15" ht="22.5" customHeight="1" x14ac:dyDescent="0.25">
      <c r="A328" s="2" t="s">
        <v>26</v>
      </c>
      <c r="B328" s="2" t="s">
        <v>27</v>
      </c>
      <c r="C328" s="3">
        <v>44986</v>
      </c>
      <c r="D328" s="3">
        <v>44929</v>
      </c>
      <c r="E328" s="2">
        <v>3171</v>
      </c>
      <c r="F328" s="2">
        <v>844</v>
      </c>
      <c r="G328" s="2">
        <v>3.65</v>
      </c>
      <c r="H328" s="6" t="s">
        <v>17</v>
      </c>
      <c r="I328" s="2">
        <v>404</v>
      </c>
      <c r="J328" s="2">
        <v>7.56</v>
      </c>
      <c r="K328" s="4">
        <f t="shared" si="5"/>
        <v>1.94964</v>
      </c>
      <c r="L328" s="4">
        <f t="shared" si="6"/>
        <v>1.4269499999999999</v>
      </c>
      <c r="M328" s="5">
        <f t="shared" si="7"/>
        <v>4.4238E-2</v>
      </c>
      <c r="N328" s="4">
        <f t="shared" si="8"/>
        <v>3.4208280000000002</v>
      </c>
      <c r="O328" s="4">
        <f t="shared" si="9"/>
        <v>-4.1391719999999994</v>
      </c>
    </row>
    <row r="329" spans="1:15" ht="22.5" customHeight="1" x14ac:dyDescent="0.25">
      <c r="A329" s="2" t="s">
        <v>26</v>
      </c>
      <c r="B329" s="2" t="s">
        <v>27</v>
      </c>
      <c r="C329" s="3">
        <v>45017</v>
      </c>
      <c r="D329" s="3">
        <v>44930</v>
      </c>
      <c r="E329" s="2">
        <v>4897</v>
      </c>
      <c r="F329" s="2">
        <v>346</v>
      </c>
      <c r="G329" s="2">
        <v>2.21</v>
      </c>
      <c r="H329" s="6" t="s">
        <v>18</v>
      </c>
      <c r="I329" s="2">
        <v>872</v>
      </c>
      <c r="J329" s="2">
        <v>6.58</v>
      </c>
      <c r="K329" s="4">
        <f t="shared" si="5"/>
        <v>0.79925999999999997</v>
      </c>
      <c r="L329" s="4">
        <f t="shared" si="6"/>
        <v>2.2036500000000001</v>
      </c>
      <c r="M329" s="5">
        <f t="shared" si="7"/>
        <v>1.156272</v>
      </c>
      <c r="N329" s="4">
        <f t="shared" si="8"/>
        <v>4.1591819999999995</v>
      </c>
      <c r="O329" s="4">
        <f t="shared" si="9"/>
        <v>-2.4208180000000006</v>
      </c>
    </row>
    <row r="330" spans="1:15" ht="22.5" customHeight="1" x14ac:dyDescent="0.25">
      <c r="A330" s="2" t="s">
        <v>26</v>
      </c>
      <c r="B330" s="2" t="s">
        <v>27</v>
      </c>
      <c r="C330" s="3">
        <v>45047</v>
      </c>
      <c r="D330" s="3">
        <v>44931</v>
      </c>
      <c r="E330" s="2">
        <v>9725</v>
      </c>
      <c r="F330" s="2">
        <v>234</v>
      </c>
      <c r="G330" s="2">
        <v>3.93</v>
      </c>
      <c r="H330" s="6" t="s">
        <v>18</v>
      </c>
      <c r="I330" s="2">
        <v>150</v>
      </c>
      <c r="J330" s="2">
        <v>7.49</v>
      </c>
      <c r="K330" s="4">
        <f t="shared" si="5"/>
        <v>0.54053999999999991</v>
      </c>
      <c r="L330" s="4">
        <f t="shared" si="6"/>
        <v>4.3762499999999998</v>
      </c>
      <c r="M330" s="5">
        <f t="shared" si="7"/>
        <v>0.35370000000000001</v>
      </c>
      <c r="N330" s="4">
        <f t="shared" si="8"/>
        <v>5.2704899999999997</v>
      </c>
      <c r="O330" s="4">
        <f t="shared" si="9"/>
        <v>-2.2195100000000005</v>
      </c>
    </row>
    <row r="331" spans="1:15" ht="22.5" customHeight="1" x14ac:dyDescent="0.25">
      <c r="A331" s="2" t="s">
        <v>26</v>
      </c>
      <c r="B331" s="2" t="s">
        <v>27</v>
      </c>
      <c r="C331" s="3">
        <v>45078</v>
      </c>
      <c r="D331" s="3">
        <v>44932</v>
      </c>
      <c r="E331" s="2">
        <v>5761</v>
      </c>
      <c r="F331" s="2">
        <v>722</v>
      </c>
      <c r="G331" s="2">
        <v>4.1399999999999997</v>
      </c>
      <c r="H331" s="6" t="s">
        <v>21</v>
      </c>
      <c r="I331" s="2">
        <v>65</v>
      </c>
      <c r="J331" s="2">
        <v>3.7</v>
      </c>
      <c r="K331" s="4">
        <f t="shared" si="5"/>
        <v>1.6678199999999999</v>
      </c>
      <c r="L331" s="4">
        <f t="shared" si="6"/>
        <v>2.5924500000000004</v>
      </c>
      <c r="M331" s="5">
        <f t="shared" si="7"/>
        <v>4.0364999999999998E-2</v>
      </c>
      <c r="N331" s="4">
        <f t="shared" si="8"/>
        <v>4.3006350000000007</v>
      </c>
      <c r="O331" s="4">
        <f t="shared" si="9"/>
        <v>0.60063500000000047</v>
      </c>
    </row>
    <row r="332" spans="1:15" ht="22.5" customHeight="1" x14ac:dyDescent="0.25">
      <c r="A332" s="2" t="s">
        <v>26</v>
      </c>
      <c r="B332" s="2" t="s">
        <v>27</v>
      </c>
      <c r="C332" s="3">
        <v>45108</v>
      </c>
      <c r="D332" s="3">
        <v>44933</v>
      </c>
      <c r="E332" s="2">
        <v>8882</v>
      </c>
      <c r="F332" s="2">
        <v>244</v>
      </c>
      <c r="G332" s="2">
        <v>7.48</v>
      </c>
      <c r="H332" s="6" t="s">
        <v>18</v>
      </c>
      <c r="I332" s="2">
        <v>409</v>
      </c>
      <c r="J332" s="2">
        <v>8.4700000000000006</v>
      </c>
      <c r="K332" s="4">
        <f t="shared" si="5"/>
        <v>0.56364000000000003</v>
      </c>
      <c r="L332" s="4">
        <f t="shared" si="6"/>
        <v>3.9969000000000001</v>
      </c>
      <c r="M332" s="5">
        <f t="shared" si="7"/>
        <v>1.8355919999999999</v>
      </c>
      <c r="N332" s="4">
        <f t="shared" si="8"/>
        <v>6.3961320000000006</v>
      </c>
      <c r="O332" s="4">
        <f t="shared" si="9"/>
        <v>-2.073868</v>
      </c>
    </row>
    <row r="333" spans="1:15" ht="22.5" customHeight="1" x14ac:dyDescent="0.25">
      <c r="A333" s="2" t="s">
        <v>26</v>
      </c>
      <c r="B333" s="2" t="s">
        <v>27</v>
      </c>
      <c r="C333" s="3">
        <v>45139</v>
      </c>
      <c r="D333" s="3">
        <v>44934</v>
      </c>
      <c r="E333" s="2">
        <v>3823</v>
      </c>
      <c r="F333" s="2">
        <v>878</v>
      </c>
      <c r="G333" s="2">
        <v>8.02</v>
      </c>
      <c r="H333" s="6" t="s">
        <v>18</v>
      </c>
      <c r="I333" s="2">
        <v>969</v>
      </c>
      <c r="J333" s="2">
        <v>7.45</v>
      </c>
      <c r="K333" s="4">
        <f t="shared" si="5"/>
        <v>2.0281799999999999</v>
      </c>
      <c r="L333" s="4">
        <f t="shared" si="6"/>
        <v>1.72035</v>
      </c>
      <c r="M333" s="5">
        <f t="shared" si="7"/>
        <v>4.6628279999999993</v>
      </c>
      <c r="N333" s="4">
        <f t="shared" si="8"/>
        <v>8.4113579999999999</v>
      </c>
      <c r="O333" s="4">
        <f t="shared" si="9"/>
        <v>0.96135799999999971</v>
      </c>
    </row>
    <row r="334" spans="1:15" ht="22.5" customHeight="1" x14ac:dyDescent="0.25">
      <c r="A334" s="2" t="s">
        <v>26</v>
      </c>
      <c r="B334" s="2" t="s">
        <v>27</v>
      </c>
      <c r="C334" s="3">
        <v>45170</v>
      </c>
      <c r="D334" s="3">
        <v>44935</v>
      </c>
      <c r="E334" s="2">
        <v>5798</v>
      </c>
      <c r="F334" s="2">
        <v>665</v>
      </c>
      <c r="G334" s="2">
        <v>6.48</v>
      </c>
      <c r="H334" s="6" t="s">
        <v>21</v>
      </c>
      <c r="I334" s="2">
        <v>142</v>
      </c>
      <c r="J334" s="2">
        <v>8.58</v>
      </c>
      <c r="K334" s="4">
        <f t="shared" si="5"/>
        <v>1.5361500000000001</v>
      </c>
      <c r="L334" s="4">
        <f t="shared" si="6"/>
        <v>2.6090999999999998</v>
      </c>
      <c r="M334" s="5">
        <f t="shared" si="7"/>
        <v>0.13802400000000001</v>
      </c>
      <c r="N334" s="4">
        <f t="shared" si="8"/>
        <v>4.2832739999999996</v>
      </c>
      <c r="O334" s="4">
        <f t="shared" si="9"/>
        <v>-4.2967260000000005</v>
      </c>
    </row>
    <row r="335" spans="1:15" ht="22.5" customHeight="1" x14ac:dyDescent="0.25">
      <c r="A335" s="2" t="s">
        <v>26</v>
      </c>
      <c r="B335" s="2" t="s">
        <v>27</v>
      </c>
      <c r="C335" s="3">
        <v>45200</v>
      </c>
      <c r="D335" s="3">
        <v>44936</v>
      </c>
      <c r="E335" s="2">
        <v>6108</v>
      </c>
      <c r="F335" s="2">
        <v>862</v>
      </c>
      <c r="G335" s="2">
        <v>4.78</v>
      </c>
      <c r="H335" s="6" t="s">
        <v>18</v>
      </c>
      <c r="I335" s="2">
        <v>360</v>
      </c>
      <c r="J335" s="2">
        <v>8.49</v>
      </c>
      <c r="K335" s="4">
        <f t="shared" si="5"/>
        <v>1.99122</v>
      </c>
      <c r="L335" s="4">
        <f t="shared" si="6"/>
        <v>2.7485999999999997</v>
      </c>
      <c r="M335" s="5">
        <f t="shared" si="7"/>
        <v>1.0324800000000001</v>
      </c>
      <c r="N335" s="4">
        <f t="shared" si="8"/>
        <v>5.7722999999999995</v>
      </c>
      <c r="O335" s="4">
        <f t="shared" si="9"/>
        <v>-2.7177000000000007</v>
      </c>
    </row>
    <row r="336" spans="1:15" ht="22.5" customHeight="1" x14ac:dyDescent="0.25">
      <c r="A336" s="2" t="s">
        <v>26</v>
      </c>
      <c r="B336" s="2" t="s">
        <v>27</v>
      </c>
      <c r="C336" s="3">
        <v>45231</v>
      </c>
      <c r="D336" s="3">
        <v>44937</v>
      </c>
      <c r="E336" s="2">
        <v>9267</v>
      </c>
      <c r="F336" s="2">
        <v>319</v>
      </c>
      <c r="G336" s="2">
        <v>1.61</v>
      </c>
      <c r="H336" s="6" t="s">
        <v>18</v>
      </c>
      <c r="I336" s="2">
        <v>870</v>
      </c>
      <c r="J336" s="2">
        <v>9.11</v>
      </c>
      <c r="K336" s="4">
        <f t="shared" si="5"/>
        <v>0.73688999999999993</v>
      </c>
      <c r="L336" s="4">
        <f t="shared" si="6"/>
        <v>4.1701500000000005</v>
      </c>
      <c r="M336" s="5">
        <f t="shared" si="7"/>
        <v>0.84042000000000006</v>
      </c>
      <c r="N336" s="4">
        <f t="shared" si="8"/>
        <v>5.7474600000000002</v>
      </c>
      <c r="O336" s="4">
        <f t="shared" si="9"/>
        <v>-3.3625399999999992</v>
      </c>
    </row>
    <row r="337" spans="1:15" ht="22.5" customHeight="1" x14ac:dyDescent="0.25">
      <c r="A337" s="2" t="s">
        <v>26</v>
      </c>
      <c r="B337" s="2" t="s">
        <v>27</v>
      </c>
      <c r="C337" s="3">
        <v>45261</v>
      </c>
      <c r="D337" s="3">
        <v>44938</v>
      </c>
      <c r="E337" s="2">
        <v>9561</v>
      </c>
      <c r="F337" s="2">
        <v>426</v>
      </c>
      <c r="G337" s="2">
        <v>1.08</v>
      </c>
      <c r="H337" s="6" t="s">
        <v>20</v>
      </c>
      <c r="I337" s="2">
        <v>870</v>
      </c>
      <c r="J337" s="2">
        <v>6.14</v>
      </c>
      <c r="K337" s="4">
        <f t="shared" si="5"/>
        <v>0.98406000000000005</v>
      </c>
      <c r="L337" s="4">
        <f t="shared" si="6"/>
        <v>4.3024499999999994</v>
      </c>
      <c r="M337" s="5">
        <f t="shared" si="7"/>
        <v>1.8792000000000007E-2</v>
      </c>
      <c r="N337" s="4">
        <f t="shared" si="8"/>
        <v>5.3053020000000002</v>
      </c>
      <c r="O337" s="4">
        <f t="shared" si="9"/>
        <v>-0.8346979999999995</v>
      </c>
    </row>
    <row r="338" spans="1:15" ht="22.5" customHeight="1" x14ac:dyDescent="0.25">
      <c r="A338" s="2" t="s">
        <v>26</v>
      </c>
      <c r="B338" s="2" t="s">
        <v>27</v>
      </c>
      <c r="C338" s="3">
        <v>45292</v>
      </c>
      <c r="D338" s="3">
        <v>45292</v>
      </c>
      <c r="E338" s="2">
        <v>8465</v>
      </c>
      <c r="F338" s="2">
        <v>908</v>
      </c>
      <c r="G338" s="2">
        <v>7.42</v>
      </c>
      <c r="H338" s="6" t="s">
        <v>17</v>
      </c>
      <c r="I338" s="2">
        <v>868</v>
      </c>
      <c r="J338" s="2">
        <v>4.91</v>
      </c>
      <c r="K338" s="4">
        <f t="shared" si="5"/>
        <v>2.09748</v>
      </c>
      <c r="L338" s="4">
        <f t="shared" si="6"/>
        <v>3.80925</v>
      </c>
      <c r="M338" s="5">
        <f t="shared" si="7"/>
        <v>0.19321679999999997</v>
      </c>
      <c r="N338" s="4">
        <f t="shared" si="8"/>
        <v>6.0999467999999997</v>
      </c>
      <c r="O338" s="4">
        <f t="shared" si="9"/>
        <v>1.1899467999999995</v>
      </c>
    </row>
    <row r="339" spans="1:15" ht="22.5" customHeight="1" x14ac:dyDescent="0.25">
      <c r="A339" s="2" t="s">
        <v>26</v>
      </c>
      <c r="B339" s="2" t="s">
        <v>27</v>
      </c>
      <c r="C339" s="3">
        <v>45323</v>
      </c>
      <c r="D339" s="3">
        <v>45293</v>
      </c>
      <c r="E339" s="2">
        <v>3499</v>
      </c>
      <c r="F339" s="2">
        <v>751</v>
      </c>
      <c r="G339" s="2">
        <v>5.59</v>
      </c>
      <c r="H339" s="6" t="s">
        <v>21</v>
      </c>
      <c r="I339" s="2">
        <v>339</v>
      </c>
      <c r="J339" s="2">
        <v>3.67</v>
      </c>
      <c r="K339" s="4">
        <f t="shared" si="5"/>
        <v>1.73481</v>
      </c>
      <c r="L339" s="4">
        <f t="shared" si="6"/>
        <v>1.5745499999999999</v>
      </c>
      <c r="M339" s="5">
        <f t="shared" si="7"/>
        <v>0.28425150000000005</v>
      </c>
      <c r="N339" s="4">
        <f t="shared" si="8"/>
        <v>3.5936114999999997</v>
      </c>
      <c r="O339" s="4">
        <f t="shared" si="9"/>
        <v>-7.6388500000000192E-2</v>
      </c>
    </row>
    <row r="340" spans="1:15" ht="22.5" customHeight="1" x14ac:dyDescent="0.25">
      <c r="A340" s="2" t="s">
        <v>26</v>
      </c>
      <c r="B340" s="2" t="s">
        <v>27</v>
      </c>
      <c r="C340" s="3">
        <v>45352</v>
      </c>
      <c r="D340" s="3">
        <v>45294</v>
      </c>
      <c r="E340" s="2">
        <v>9743</v>
      </c>
      <c r="F340" s="2">
        <v>1164</v>
      </c>
      <c r="G340" s="2">
        <v>5.61</v>
      </c>
      <c r="H340" s="6" t="s">
        <v>21</v>
      </c>
      <c r="I340" s="2">
        <v>680</v>
      </c>
      <c r="J340" s="2">
        <v>4.87</v>
      </c>
      <c r="K340" s="4">
        <f t="shared" si="5"/>
        <v>2.6888400000000003</v>
      </c>
      <c r="L340" s="4">
        <f t="shared" si="6"/>
        <v>4.3843500000000004</v>
      </c>
      <c r="M340" s="5">
        <f t="shared" si="7"/>
        <v>0.57222000000000006</v>
      </c>
      <c r="N340" s="4">
        <f t="shared" si="8"/>
        <v>7.64541</v>
      </c>
      <c r="O340" s="4">
        <f t="shared" si="9"/>
        <v>2.7754099999999999</v>
      </c>
    </row>
    <row r="341" spans="1:15" ht="22.5" customHeight="1" x14ac:dyDescent="0.25">
      <c r="A341" s="2" t="s">
        <v>26</v>
      </c>
      <c r="B341" s="2" t="s">
        <v>27</v>
      </c>
      <c r="C341" s="3">
        <v>45383</v>
      </c>
      <c r="D341" s="3">
        <v>45295</v>
      </c>
      <c r="E341" s="2">
        <v>5141</v>
      </c>
      <c r="F341" s="2">
        <v>1057</v>
      </c>
      <c r="G341" s="2">
        <v>7.89</v>
      </c>
      <c r="H341" s="6" t="s">
        <v>17</v>
      </c>
      <c r="I341" s="2">
        <v>931</v>
      </c>
      <c r="J341" s="2">
        <v>2.39</v>
      </c>
      <c r="K341" s="4">
        <f t="shared" si="5"/>
        <v>2.4416700000000002</v>
      </c>
      <c r="L341" s="4">
        <f t="shared" si="6"/>
        <v>2.3134500000000005</v>
      </c>
      <c r="M341" s="5">
        <f t="shared" si="7"/>
        <v>0.22036769999999997</v>
      </c>
      <c r="N341" s="4">
        <f t="shared" si="8"/>
        <v>4.9754877000000004</v>
      </c>
      <c r="O341" s="4">
        <f t="shared" si="9"/>
        <v>2.5854877000000003</v>
      </c>
    </row>
    <row r="342" spans="1:15" ht="22.5" customHeight="1" x14ac:dyDescent="0.25">
      <c r="A342" s="2" t="s">
        <v>26</v>
      </c>
      <c r="B342" s="2" t="s">
        <v>27</v>
      </c>
      <c r="C342" s="3">
        <v>45413</v>
      </c>
      <c r="D342" s="3">
        <v>45296</v>
      </c>
      <c r="E342" s="2">
        <v>3380</v>
      </c>
      <c r="F342" s="2">
        <v>1101</v>
      </c>
      <c r="G342" s="2">
        <v>8.9499999999999993</v>
      </c>
      <c r="H342" s="6" t="s">
        <v>18</v>
      </c>
      <c r="I342" s="2">
        <v>581</v>
      </c>
      <c r="J342" s="2">
        <v>5</v>
      </c>
      <c r="K342" s="4">
        <f t="shared" si="5"/>
        <v>2.54331</v>
      </c>
      <c r="L342" s="4">
        <f t="shared" si="6"/>
        <v>1.5209999999999999</v>
      </c>
      <c r="M342" s="5">
        <f t="shared" si="7"/>
        <v>3.1199699999999995</v>
      </c>
      <c r="N342" s="4">
        <f t="shared" si="8"/>
        <v>7.1842799999999993</v>
      </c>
      <c r="O342" s="4">
        <f t="shared" si="9"/>
        <v>2.1842799999999993</v>
      </c>
    </row>
    <row r="343" spans="1:15" ht="22.5" customHeight="1" x14ac:dyDescent="0.25">
      <c r="A343" s="2" t="s">
        <v>26</v>
      </c>
      <c r="B343" s="2" t="s">
        <v>27</v>
      </c>
      <c r="C343" s="3">
        <v>45444</v>
      </c>
      <c r="D343" s="3">
        <v>45297</v>
      </c>
      <c r="E343" s="2">
        <v>3486</v>
      </c>
      <c r="F343" s="2">
        <v>419</v>
      </c>
      <c r="G343" s="2">
        <v>2.11</v>
      </c>
      <c r="H343" s="6" t="s">
        <v>21</v>
      </c>
      <c r="I343" s="2">
        <v>739</v>
      </c>
      <c r="J343" s="2">
        <v>7.73</v>
      </c>
      <c r="K343" s="4">
        <f t="shared" si="5"/>
        <v>0.96789000000000003</v>
      </c>
      <c r="L343" s="4">
        <f t="shared" si="6"/>
        <v>1.5687</v>
      </c>
      <c r="M343" s="5">
        <f t="shared" si="7"/>
        <v>0.23389349999999995</v>
      </c>
      <c r="N343" s="4">
        <f t="shared" si="8"/>
        <v>2.7704834999999997</v>
      </c>
      <c r="O343" s="4">
        <f t="shared" si="9"/>
        <v>-4.9595165000000012</v>
      </c>
    </row>
    <row r="344" spans="1:15" ht="22.5" customHeight="1" x14ac:dyDescent="0.25">
      <c r="A344" s="2" t="s">
        <v>26</v>
      </c>
      <c r="B344" s="2" t="s">
        <v>27</v>
      </c>
      <c r="C344" s="3">
        <v>45474</v>
      </c>
      <c r="D344" s="3">
        <v>45298</v>
      </c>
      <c r="E344" s="2">
        <v>9409</v>
      </c>
      <c r="F344" s="2">
        <v>210</v>
      </c>
      <c r="G344" s="2">
        <v>7.06</v>
      </c>
      <c r="H344" s="6" t="s">
        <v>17</v>
      </c>
      <c r="I344" s="2">
        <v>304</v>
      </c>
      <c r="J344" s="2">
        <v>5.58</v>
      </c>
      <c r="K344" s="4">
        <f t="shared" si="5"/>
        <v>0.48510000000000003</v>
      </c>
      <c r="L344" s="4">
        <f t="shared" si="6"/>
        <v>4.2340499999999999</v>
      </c>
      <c r="M344" s="5">
        <f t="shared" si="7"/>
        <v>6.4387199999999992E-2</v>
      </c>
      <c r="N344" s="4">
        <f t="shared" si="8"/>
        <v>4.7835371999999996</v>
      </c>
      <c r="O344" s="4">
        <f t="shared" si="9"/>
        <v>-0.79646280000000047</v>
      </c>
    </row>
    <row r="345" spans="1:15" ht="22.5" customHeight="1" x14ac:dyDescent="0.25">
      <c r="A345" s="2" t="s">
        <v>26</v>
      </c>
      <c r="B345" s="2" t="s">
        <v>27</v>
      </c>
      <c r="C345" s="3">
        <v>45505</v>
      </c>
      <c r="D345" s="3">
        <v>45299</v>
      </c>
      <c r="E345" s="2">
        <v>8933</v>
      </c>
      <c r="F345" s="2">
        <v>1075</v>
      </c>
      <c r="G345" s="2">
        <v>8.11</v>
      </c>
      <c r="H345" s="6" t="s">
        <v>20</v>
      </c>
      <c r="I345" s="2">
        <v>100</v>
      </c>
      <c r="J345" s="2">
        <v>4.49</v>
      </c>
      <c r="K345" s="4">
        <f t="shared" si="5"/>
        <v>2.48325</v>
      </c>
      <c r="L345" s="4">
        <f t="shared" si="6"/>
        <v>4.0198499999999999</v>
      </c>
      <c r="M345" s="5">
        <f t="shared" si="7"/>
        <v>1.6219999999999998E-2</v>
      </c>
      <c r="N345" s="4">
        <f t="shared" si="8"/>
        <v>6.5193199999999996</v>
      </c>
      <c r="O345" s="4">
        <f t="shared" si="9"/>
        <v>2.0293199999999993</v>
      </c>
    </row>
    <row r="346" spans="1:15" ht="22.5" customHeight="1" x14ac:dyDescent="0.25">
      <c r="A346" s="2" t="s">
        <v>26</v>
      </c>
      <c r="B346" s="2" t="s">
        <v>27</v>
      </c>
      <c r="C346" s="3">
        <v>45536</v>
      </c>
      <c r="D346" s="3">
        <v>45300</v>
      </c>
      <c r="E346" s="2">
        <v>3367</v>
      </c>
      <c r="F346" s="2">
        <v>740</v>
      </c>
      <c r="G346" s="2">
        <v>9.81</v>
      </c>
      <c r="H346" s="6" t="s">
        <v>21</v>
      </c>
      <c r="I346" s="2">
        <v>540</v>
      </c>
      <c r="J346" s="2">
        <v>9.27</v>
      </c>
      <c r="K346" s="4">
        <f t="shared" si="5"/>
        <v>1.7094</v>
      </c>
      <c r="L346" s="4">
        <f t="shared" si="6"/>
        <v>1.51515</v>
      </c>
      <c r="M346" s="5">
        <f t="shared" si="7"/>
        <v>0.79461000000000004</v>
      </c>
      <c r="N346" s="4">
        <f t="shared" si="8"/>
        <v>4.0191599999999994</v>
      </c>
      <c r="O346" s="4">
        <f t="shared" si="9"/>
        <v>-5.2508400000000002</v>
      </c>
    </row>
    <row r="347" spans="1:15" ht="22.5" customHeight="1" x14ac:dyDescent="0.25">
      <c r="A347" s="2" t="s">
        <v>26</v>
      </c>
      <c r="B347" s="2" t="s">
        <v>27</v>
      </c>
      <c r="C347" s="3">
        <v>45566</v>
      </c>
      <c r="D347" s="3">
        <v>45301</v>
      </c>
      <c r="E347" s="2">
        <v>8844</v>
      </c>
      <c r="F347" s="2">
        <v>1008</v>
      </c>
      <c r="G347" s="2">
        <v>8.09</v>
      </c>
      <c r="H347" s="6" t="s">
        <v>21</v>
      </c>
      <c r="I347" s="2">
        <v>602</v>
      </c>
      <c r="J347" s="2">
        <v>2.83</v>
      </c>
      <c r="K347" s="4">
        <f t="shared" si="5"/>
        <v>2.3284799999999999</v>
      </c>
      <c r="L347" s="4">
        <f t="shared" si="6"/>
        <v>3.9798</v>
      </c>
      <c r="M347" s="5">
        <f t="shared" si="7"/>
        <v>0.73052699999999993</v>
      </c>
      <c r="N347" s="4">
        <f t="shared" si="8"/>
        <v>7.0388070000000003</v>
      </c>
      <c r="O347" s="4">
        <f t="shared" si="9"/>
        <v>4.2088070000000002</v>
      </c>
    </row>
    <row r="348" spans="1:15" ht="22.5" customHeight="1" x14ac:dyDescent="0.25">
      <c r="A348" s="2" t="s">
        <v>26</v>
      </c>
      <c r="B348" s="2" t="s">
        <v>27</v>
      </c>
      <c r="C348" s="3">
        <v>45597</v>
      </c>
      <c r="D348" s="3">
        <v>45302</v>
      </c>
      <c r="E348" s="2">
        <v>7602</v>
      </c>
      <c r="F348" s="2">
        <v>1166</v>
      </c>
      <c r="G348" s="2">
        <v>7.8</v>
      </c>
      <c r="H348" s="6" t="s">
        <v>20</v>
      </c>
      <c r="I348" s="2">
        <v>865</v>
      </c>
      <c r="J348" s="2">
        <v>8.77</v>
      </c>
      <c r="K348" s="4">
        <f t="shared" si="5"/>
        <v>2.69346</v>
      </c>
      <c r="L348" s="4">
        <f t="shared" si="6"/>
        <v>3.4209000000000001</v>
      </c>
      <c r="M348" s="5">
        <f t="shared" si="7"/>
        <v>0.13494</v>
      </c>
      <c r="N348" s="4">
        <f t="shared" si="8"/>
        <v>6.2492999999999999</v>
      </c>
      <c r="O348" s="4">
        <f t="shared" si="9"/>
        <v>-2.5206999999999997</v>
      </c>
    </row>
    <row r="349" spans="1:15" ht="22.5" customHeight="1" x14ac:dyDescent="0.25">
      <c r="A349" s="2" t="s">
        <v>26</v>
      </c>
      <c r="B349" s="2" t="s">
        <v>27</v>
      </c>
      <c r="C349" s="3">
        <v>45627</v>
      </c>
      <c r="D349" s="3">
        <v>45303</v>
      </c>
      <c r="E349" s="2">
        <v>3119</v>
      </c>
      <c r="F349" s="2">
        <v>414</v>
      </c>
      <c r="G349" s="2">
        <v>2.0299999999999998</v>
      </c>
      <c r="H349" s="6" t="s">
        <v>18</v>
      </c>
      <c r="I349" s="2">
        <v>607</v>
      </c>
      <c r="J349" s="2">
        <v>7.43</v>
      </c>
      <c r="K349" s="4">
        <f t="shared" si="5"/>
        <v>0.95634000000000008</v>
      </c>
      <c r="L349" s="4">
        <f t="shared" si="6"/>
        <v>1.4035499999999999</v>
      </c>
      <c r="M349" s="5">
        <f t="shared" si="7"/>
        <v>0.73932599999999993</v>
      </c>
      <c r="N349" s="4">
        <f t="shared" si="8"/>
        <v>3.0992160000000002</v>
      </c>
      <c r="O349" s="4">
        <f t="shared" si="9"/>
        <v>-4.3307839999999995</v>
      </c>
    </row>
    <row r="350" spans="1:15" ht="22.5" customHeight="1" x14ac:dyDescent="0.25">
      <c r="A350" s="2" t="s">
        <v>26</v>
      </c>
      <c r="B350" s="2" t="s">
        <v>27</v>
      </c>
      <c r="C350" s="3">
        <v>45658</v>
      </c>
      <c r="D350" s="3">
        <v>45658</v>
      </c>
      <c r="E350" s="2">
        <v>3282</v>
      </c>
      <c r="F350" s="2">
        <v>314</v>
      </c>
      <c r="G350" s="2">
        <v>6.89</v>
      </c>
      <c r="H350" s="6" t="s">
        <v>21</v>
      </c>
      <c r="I350" s="2">
        <v>747</v>
      </c>
      <c r="J350" s="2">
        <v>6.94</v>
      </c>
      <c r="K350" s="4">
        <f t="shared" si="5"/>
        <v>0.72533999999999998</v>
      </c>
      <c r="L350" s="4">
        <f t="shared" si="6"/>
        <v>1.4769000000000001</v>
      </c>
      <c r="M350" s="5">
        <f t="shared" si="7"/>
        <v>0.7720245</v>
      </c>
      <c r="N350" s="4">
        <f t="shared" si="8"/>
        <v>2.9742645000000003</v>
      </c>
      <c r="O350" s="4">
        <f t="shared" si="9"/>
        <v>-3.9657355000000001</v>
      </c>
    </row>
    <row r="351" spans="1:15" ht="22.5" customHeight="1" x14ac:dyDescent="0.25">
      <c r="A351" s="2" t="s">
        <v>26</v>
      </c>
      <c r="B351" s="2" t="s">
        <v>27</v>
      </c>
      <c r="C351" s="3">
        <v>45689</v>
      </c>
      <c r="D351" s="3">
        <v>45659</v>
      </c>
      <c r="E351" s="2">
        <v>4785</v>
      </c>
      <c r="F351" s="2">
        <v>685</v>
      </c>
      <c r="G351" s="2">
        <v>1.04</v>
      </c>
      <c r="H351" s="6" t="s">
        <v>18</v>
      </c>
      <c r="I351" s="2">
        <v>664</v>
      </c>
      <c r="J351" s="2">
        <v>1.87</v>
      </c>
      <c r="K351" s="4">
        <f t="shared" si="5"/>
        <v>1.5823500000000001</v>
      </c>
      <c r="L351" s="4">
        <f t="shared" si="6"/>
        <v>2.1532499999999999</v>
      </c>
      <c r="M351" s="5">
        <f t="shared" si="7"/>
        <v>0.41433600000000004</v>
      </c>
      <c r="N351" s="4">
        <f t="shared" si="8"/>
        <v>4.1499360000000003</v>
      </c>
      <c r="O351" s="4">
        <f t="shared" si="9"/>
        <v>2.2799360000000002</v>
      </c>
    </row>
    <row r="352" spans="1:15" ht="22.5" customHeight="1" x14ac:dyDescent="0.25">
      <c r="A352" s="2" t="s">
        <v>26</v>
      </c>
      <c r="B352" s="2" t="s">
        <v>27</v>
      </c>
      <c r="C352" s="3">
        <v>45717</v>
      </c>
      <c r="D352" s="3">
        <v>45660</v>
      </c>
      <c r="E352" s="2">
        <v>6196</v>
      </c>
      <c r="F352" s="2">
        <v>789</v>
      </c>
      <c r="G352" s="2">
        <v>3.12</v>
      </c>
      <c r="H352" s="6" t="s">
        <v>21</v>
      </c>
      <c r="I352" s="2">
        <v>69</v>
      </c>
      <c r="J352" s="2">
        <v>0.06</v>
      </c>
      <c r="K352" s="4">
        <f t="shared" si="5"/>
        <v>1.8225900000000002</v>
      </c>
      <c r="L352" s="4">
        <f t="shared" si="6"/>
        <v>2.7882000000000002</v>
      </c>
      <c r="M352" s="5">
        <f t="shared" si="7"/>
        <v>3.2292000000000001E-2</v>
      </c>
      <c r="N352" s="4">
        <f t="shared" si="8"/>
        <v>4.6430820000000006</v>
      </c>
      <c r="O352" s="4">
        <f t="shared" si="9"/>
        <v>4.583082000000001</v>
      </c>
    </row>
    <row r="353" spans="1:15" ht="22.5" customHeight="1" x14ac:dyDescent="0.25">
      <c r="A353" s="2" t="s">
        <v>26</v>
      </c>
      <c r="B353" s="2" t="s">
        <v>27</v>
      </c>
      <c r="C353" s="3">
        <v>45748</v>
      </c>
      <c r="D353" s="3">
        <v>45661</v>
      </c>
      <c r="E353" s="2">
        <v>4273</v>
      </c>
      <c r="F353" s="2">
        <v>557</v>
      </c>
      <c r="G353" s="2">
        <v>8.82</v>
      </c>
      <c r="H353" s="6" t="s">
        <v>17</v>
      </c>
      <c r="I353" s="2">
        <v>261</v>
      </c>
      <c r="J353" s="2">
        <v>1.1000000000000001</v>
      </c>
      <c r="K353" s="4">
        <f t="shared" si="5"/>
        <v>1.28667</v>
      </c>
      <c r="L353" s="4">
        <f t="shared" si="6"/>
        <v>1.9228500000000002</v>
      </c>
      <c r="M353" s="5">
        <f t="shared" si="7"/>
        <v>6.9060600000000014E-2</v>
      </c>
      <c r="N353" s="4">
        <f t="shared" si="8"/>
        <v>3.2785806000000002</v>
      </c>
      <c r="O353" s="4">
        <f t="shared" si="9"/>
        <v>2.1785806000000001</v>
      </c>
    </row>
    <row r="354" spans="1:15" ht="22.5" customHeight="1" x14ac:dyDescent="0.25">
      <c r="A354" s="2" t="s">
        <v>26</v>
      </c>
      <c r="B354" s="2" t="s">
        <v>27</v>
      </c>
      <c r="C354" s="3">
        <v>45778</v>
      </c>
      <c r="D354" s="3">
        <v>45662</v>
      </c>
      <c r="E354" s="2">
        <v>6023</v>
      </c>
      <c r="F354" s="2">
        <v>1035</v>
      </c>
      <c r="G354" s="2">
        <v>7.23</v>
      </c>
      <c r="H354" s="6" t="s">
        <v>21</v>
      </c>
      <c r="I354" s="2">
        <v>577</v>
      </c>
      <c r="J354" s="2">
        <v>1.68</v>
      </c>
      <c r="K354" s="4">
        <f t="shared" si="5"/>
        <v>2.3908499999999999</v>
      </c>
      <c r="L354" s="4">
        <f t="shared" si="6"/>
        <v>2.71035</v>
      </c>
      <c r="M354" s="5">
        <f t="shared" si="7"/>
        <v>0.62575649999999994</v>
      </c>
      <c r="N354" s="4">
        <f t="shared" si="8"/>
        <v>5.7269565</v>
      </c>
      <c r="O354" s="4">
        <f t="shared" si="9"/>
        <v>4.0469565000000003</v>
      </c>
    </row>
    <row r="355" spans="1:15" ht="22.5" customHeight="1" x14ac:dyDescent="0.25">
      <c r="A355" s="2" t="s">
        <v>26</v>
      </c>
      <c r="B355" s="2" t="s">
        <v>27</v>
      </c>
      <c r="C355" s="3">
        <v>45809</v>
      </c>
      <c r="D355" s="3">
        <v>45663</v>
      </c>
      <c r="E355" s="2">
        <v>7978</v>
      </c>
      <c r="F355" s="2">
        <v>609</v>
      </c>
      <c r="G355" s="2">
        <v>3.78</v>
      </c>
      <c r="H355" s="6" t="s">
        <v>18</v>
      </c>
      <c r="I355" s="2">
        <v>926</v>
      </c>
      <c r="J355" s="2">
        <v>2.5299999999999998</v>
      </c>
      <c r="K355" s="4">
        <f t="shared" si="5"/>
        <v>1.40679</v>
      </c>
      <c r="L355" s="4">
        <f t="shared" si="6"/>
        <v>3.5901000000000001</v>
      </c>
      <c r="M355" s="5">
        <f t="shared" si="7"/>
        <v>2.100168</v>
      </c>
      <c r="N355" s="4">
        <f t="shared" si="8"/>
        <v>7.0970580000000005</v>
      </c>
      <c r="O355" s="4">
        <f t="shared" si="9"/>
        <v>4.5670580000000012</v>
      </c>
    </row>
    <row r="356" spans="1:15" ht="22.5" customHeight="1" x14ac:dyDescent="0.25">
      <c r="A356" s="2" t="s">
        <v>26</v>
      </c>
      <c r="B356" s="2" t="s">
        <v>27</v>
      </c>
      <c r="C356" s="3">
        <v>45839</v>
      </c>
      <c r="D356" s="3">
        <v>45664</v>
      </c>
      <c r="E356" s="2">
        <v>3186</v>
      </c>
      <c r="F356" s="2">
        <v>699</v>
      </c>
      <c r="G356" s="2">
        <v>2.2200000000000002</v>
      </c>
      <c r="H356" s="6" t="s">
        <v>17</v>
      </c>
      <c r="I356" s="2">
        <v>576</v>
      </c>
      <c r="J356" s="2">
        <v>0.67</v>
      </c>
      <c r="K356" s="4">
        <f t="shared" si="5"/>
        <v>1.61469</v>
      </c>
      <c r="L356" s="4">
        <f t="shared" si="6"/>
        <v>1.4337</v>
      </c>
      <c r="M356" s="5">
        <f t="shared" si="7"/>
        <v>3.8361600000000003E-2</v>
      </c>
      <c r="N356" s="4">
        <f t="shared" si="8"/>
        <v>3.0867515999999999</v>
      </c>
      <c r="O356" s="4">
        <f t="shared" si="9"/>
        <v>2.4167516</v>
      </c>
    </row>
    <row r="357" spans="1:15" ht="22.5" customHeight="1" x14ac:dyDescent="0.25">
      <c r="A357" s="2" t="s">
        <v>26</v>
      </c>
      <c r="B357" s="2" t="s">
        <v>27</v>
      </c>
      <c r="C357" s="3">
        <v>45870</v>
      </c>
      <c r="D357" s="3">
        <v>45665</v>
      </c>
      <c r="E357" s="2">
        <v>3985</v>
      </c>
      <c r="F357" s="2">
        <v>571</v>
      </c>
      <c r="G357" s="2">
        <v>2.72</v>
      </c>
      <c r="H357" s="6" t="s">
        <v>20</v>
      </c>
      <c r="I357" s="2">
        <v>747</v>
      </c>
      <c r="J357" s="2">
        <v>0.43</v>
      </c>
      <c r="K357" s="4">
        <f t="shared" si="5"/>
        <v>1.31901</v>
      </c>
      <c r="L357" s="4">
        <f t="shared" si="6"/>
        <v>1.79325</v>
      </c>
      <c r="M357" s="5">
        <f t="shared" si="7"/>
        <v>4.0636800000000001E-2</v>
      </c>
      <c r="N357" s="4">
        <f t="shared" si="8"/>
        <v>3.1528968000000002</v>
      </c>
      <c r="O357" s="4">
        <f t="shared" si="9"/>
        <v>2.7228968</v>
      </c>
    </row>
    <row r="358" spans="1:15" ht="22.5" customHeight="1" x14ac:dyDescent="0.25">
      <c r="A358" s="2" t="s">
        <v>26</v>
      </c>
      <c r="B358" s="2" t="s">
        <v>27</v>
      </c>
      <c r="C358" s="3">
        <v>45901</v>
      </c>
      <c r="D358" s="3">
        <v>45666</v>
      </c>
      <c r="E358" s="2">
        <v>4358</v>
      </c>
      <c r="F358" s="2">
        <v>1056</v>
      </c>
      <c r="G358" s="2">
        <v>9.65</v>
      </c>
      <c r="H358" s="6" t="s">
        <v>18</v>
      </c>
      <c r="I358" s="2">
        <v>129</v>
      </c>
      <c r="J358" s="2">
        <v>2.99</v>
      </c>
      <c r="K358" s="4">
        <f t="shared" si="5"/>
        <v>2.4393600000000002</v>
      </c>
      <c r="L358" s="4">
        <f t="shared" si="6"/>
        <v>1.9611000000000001</v>
      </c>
      <c r="M358" s="5">
        <f t="shared" si="7"/>
        <v>0.74690999999999996</v>
      </c>
      <c r="N358" s="4">
        <f t="shared" si="8"/>
        <v>5.1473700000000004</v>
      </c>
      <c r="O358" s="4">
        <f t="shared" si="9"/>
        <v>2.1573700000000002</v>
      </c>
    </row>
    <row r="359" spans="1:15" ht="22.5" customHeight="1" x14ac:dyDescent="0.25">
      <c r="A359" s="2" t="s">
        <v>26</v>
      </c>
      <c r="B359" s="2" t="s">
        <v>27</v>
      </c>
      <c r="C359" s="3">
        <v>45931</v>
      </c>
      <c r="D359" s="3">
        <v>45667</v>
      </c>
      <c r="E359" s="2">
        <v>5841</v>
      </c>
      <c r="F359" s="2">
        <v>575</v>
      </c>
      <c r="G359" s="2">
        <v>6.92</v>
      </c>
      <c r="H359" s="6" t="s">
        <v>20</v>
      </c>
      <c r="I359" s="2">
        <v>813</v>
      </c>
      <c r="J359" s="2">
        <v>8.89</v>
      </c>
      <c r="K359" s="4">
        <f t="shared" si="5"/>
        <v>1.3282499999999999</v>
      </c>
      <c r="L359" s="4">
        <f t="shared" si="6"/>
        <v>2.6284500000000004</v>
      </c>
      <c r="M359" s="5">
        <f t="shared" si="7"/>
        <v>0.11251920000000001</v>
      </c>
      <c r="N359" s="4">
        <f t="shared" si="8"/>
        <v>4.0692192000000009</v>
      </c>
      <c r="O359" s="4">
        <f t="shared" si="9"/>
        <v>-4.8207807999999996</v>
      </c>
    </row>
    <row r="360" spans="1:15" ht="22.5" customHeight="1" x14ac:dyDescent="0.25">
      <c r="A360" s="2" t="s">
        <v>26</v>
      </c>
      <c r="B360" s="2" t="s">
        <v>27</v>
      </c>
      <c r="C360" s="3">
        <v>45962</v>
      </c>
      <c r="D360" s="3">
        <v>45668</v>
      </c>
      <c r="E360" s="2">
        <v>3261</v>
      </c>
      <c r="F360" s="2">
        <v>1173</v>
      </c>
      <c r="G360" s="2">
        <v>2.35</v>
      </c>
      <c r="H360" s="6" t="s">
        <v>17</v>
      </c>
      <c r="I360" s="2">
        <v>766</v>
      </c>
      <c r="J360" s="2">
        <v>6.2</v>
      </c>
      <c r="K360" s="4">
        <f t="shared" si="5"/>
        <v>2.7096300000000002</v>
      </c>
      <c r="L360" s="4">
        <f t="shared" si="6"/>
        <v>1.4674500000000001</v>
      </c>
      <c r="M360" s="5">
        <f t="shared" si="7"/>
        <v>5.4003000000000002E-2</v>
      </c>
      <c r="N360" s="4">
        <f t="shared" si="8"/>
        <v>4.2310829999999999</v>
      </c>
      <c r="O360" s="4">
        <f t="shared" si="9"/>
        <v>-1.9689170000000003</v>
      </c>
    </row>
    <row r="361" spans="1:15" ht="22.5" customHeight="1" x14ac:dyDescent="0.25">
      <c r="A361" s="2" t="s">
        <v>26</v>
      </c>
      <c r="B361" s="2" t="s">
        <v>27</v>
      </c>
      <c r="C361" s="3">
        <v>45992</v>
      </c>
      <c r="D361" s="3">
        <v>45669</v>
      </c>
      <c r="E361" s="2">
        <v>3013</v>
      </c>
      <c r="F361" s="2">
        <v>440</v>
      </c>
      <c r="G361" s="2">
        <v>1.67</v>
      </c>
      <c r="H361" s="6" t="s">
        <v>17</v>
      </c>
      <c r="I361" s="2">
        <v>546</v>
      </c>
      <c r="J361" s="2">
        <v>4.55</v>
      </c>
      <c r="K361" s="4">
        <f t="shared" si="5"/>
        <v>1.0164</v>
      </c>
      <c r="L361" s="4">
        <f t="shared" si="6"/>
        <v>1.3558500000000002</v>
      </c>
      <c r="M361" s="5">
        <f t="shared" si="7"/>
        <v>2.7354599999999996E-2</v>
      </c>
      <c r="N361" s="4">
        <f t="shared" si="8"/>
        <v>2.3996046</v>
      </c>
      <c r="O361" s="4">
        <f t="shared" si="9"/>
        <v>-2.1503953999999998</v>
      </c>
    </row>
    <row r="362" spans="1:15" ht="22.5" customHeight="1" x14ac:dyDescent="0.25">
      <c r="A362" s="2" t="s">
        <v>26</v>
      </c>
      <c r="B362" s="2" t="s">
        <v>28</v>
      </c>
      <c r="C362" s="3">
        <v>43831</v>
      </c>
      <c r="D362" s="3">
        <v>43831</v>
      </c>
      <c r="E362" s="2">
        <v>6778</v>
      </c>
      <c r="F362" s="2">
        <v>1042</v>
      </c>
      <c r="G362" s="2">
        <v>3.38</v>
      </c>
      <c r="H362" s="6" t="s">
        <v>18</v>
      </c>
      <c r="I362" s="2">
        <v>98</v>
      </c>
      <c r="J362" s="2">
        <v>3.4</v>
      </c>
      <c r="K362" s="4">
        <f t="shared" si="5"/>
        <v>2.4070200000000002</v>
      </c>
      <c r="L362" s="4">
        <f t="shared" si="6"/>
        <v>3.0501</v>
      </c>
      <c r="M362" s="5">
        <f t="shared" si="7"/>
        <v>0.19874399999999998</v>
      </c>
      <c r="N362" s="4">
        <f t="shared" si="8"/>
        <v>5.6558639999999993</v>
      </c>
      <c r="O362" s="4">
        <f t="shared" si="9"/>
        <v>2.2558639999999994</v>
      </c>
    </row>
    <row r="363" spans="1:15" ht="22.5" customHeight="1" x14ac:dyDescent="0.25">
      <c r="A363" s="2" t="s">
        <v>26</v>
      </c>
      <c r="B363" s="2" t="s">
        <v>28</v>
      </c>
      <c r="C363" s="3">
        <v>43862</v>
      </c>
      <c r="D363" s="3">
        <v>43832</v>
      </c>
      <c r="E363" s="2">
        <v>9838</v>
      </c>
      <c r="F363" s="2">
        <v>986</v>
      </c>
      <c r="G363" s="2">
        <v>5.88</v>
      </c>
      <c r="H363" s="6" t="s">
        <v>20</v>
      </c>
      <c r="I363" s="2">
        <v>83</v>
      </c>
      <c r="J363" s="2">
        <v>5.28</v>
      </c>
      <c r="K363" s="4">
        <f t="shared" si="5"/>
        <v>2.27766</v>
      </c>
      <c r="L363" s="4">
        <f t="shared" si="6"/>
        <v>4.4271000000000003</v>
      </c>
      <c r="M363" s="5">
        <f t="shared" si="7"/>
        <v>9.7608000000000018E-3</v>
      </c>
      <c r="N363" s="4">
        <f t="shared" si="8"/>
        <v>6.7145207999999998</v>
      </c>
      <c r="O363" s="4">
        <f t="shared" si="9"/>
        <v>1.4345207999999996</v>
      </c>
    </row>
    <row r="364" spans="1:15" ht="22.5" customHeight="1" x14ac:dyDescent="0.25">
      <c r="A364" s="2" t="s">
        <v>26</v>
      </c>
      <c r="B364" s="2" t="s">
        <v>28</v>
      </c>
      <c r="C364" s="3">
        <v>43891</v>
      </c>
      <c r="D364" s="3">
        <v>43833</v>
      </c>
      <c r="E364" s="2">
        <v>4149</v>
      </c>
      <c r="F364" s="2">
        <v>595</v>
      </c>
      <c r="G364" s="2">
        <v>7.71</v>
      </c>
      <c r="H364" s="6" t="s">
        <v>20</v>
      </c>
      <c r="I364" s="2">
        <v>537</v>
      </c>
      <c r="J364" s="2">
        <v>3.8</v>
      </c>
      <c r="K364" s="4">
        <f t="shared" si="5"/>
        <v>1.3744499999999999</v>
      </c>
      <c r="L364" s="4">
        <f t="shared" si="6"/>
        <v>1.8670499999999999</v>
      </c>
      <c r="M364" s="5">
        <f t="shared" si="7"/>
        <v>8.2805400000000001E-2</v>
      </c>
      <c r="N364" s="4">
        <f t="shared" si="8"/>
        <v>3.3243053999999996</v>
      </c>
      <c r="O364" s="4">
        <f t="shared" si="9"/>
        <v>-0.47569460000000019</v>
      </c>
    </row>
    <row r="365" spans="1:15" ht="22.5" customHeight="1" x14ac:dyDescent="0.25">
      <c r="A365" s="2" t="s">
        <v>26</v>
      </c>
      <c r="B365" s="2" t="s">
        <v>28</v>
      </c>
      <c r="C365" s="3">
        <v>43922</v>
      </c>
      <c r="D365" s="3">
        <v>43834</v>
      </c>
      <c r="E365" s="2">
        <v>5699</v>
      </c>
      <c r="F365" s="2">
        <v>375</v>
      </c>
      <c r="G365" s="2">
        <v>2.81</v>
      </c>
      <c r="H365" s="6" t="s">
        <v>17</v>
      </c>
      <c r="I365" s="2">
        <v>937</v>
      </c>
      <c r="J365" s="2">
        <v>5.46</v>
      </c>
      <c r="K365" s="4">
        <f t="shared" si="5"/>
        <v>0.86624999999999996</v>
      </c>
      <c r="L365" s="4">
        <f t="shared" si="6"/>
        <v>2.5645500000000001</v>
      </c>
      <c r="M365" s="5">
        <f t="shared" si="7"/>
        <v>7.8989099999999993E-2</v>
      </c>
      <c r="N365" s="4">
        <f t="shared" si="8"/>
        <v>3.5097890999999999</v>
      </c>
      <c r="O365" s="4">
        <f t="shared" si="9"/>
        <v>-1.9502109000000001</v>
      </c>
    </row>
    <row r="366" spans="1:15" ht="22.5" customHeight="1" x14ac:dyDescent="0.25">
      <c r="A366" s="2" t="s">
        <v>26</v>
      </c>
      <c r="B366" s="2" t="s">
        <v>28</v>
      </c>
      <c r="C366" s="3">
        <v>43952</v>
      </c>
      <c r="D366" s="3">
        <v>43835</v>
      </c>
      <c r="E366" s="2">
        <v>5457</v>
      </c>
      <c r="F366" s="2">
        <v>835</v>
      </c>
      <c r="G366" s="2">
        <v>9.01</v>
      </c>
      <c r="H366" s="6" t="s">
        <v>18</v>
      </c>
      <c r="I366" s="2">
        <v>654</v>
      </c>
      <c r="J366" s="2">
        <v>1.75</v>
      </c>
      <c r="K366" s="4">
        <f t="shared" si="5"/>
        <v>1.9288500000000002</v>
      </c>
      <c r="L366" s="4">
        <f t="shared" si="6"/>
        <v>2.4556499999999999</v>
      </c>
      <c r="M366" s="5">
        <f t="shared" si="7"/>
        <v>3.5355239999999997</v>
      </c>
      <c r="N366" s="4">
        <f t="shared" si="8"/>
        <v>7.9200239999999997</v>
      </c>
      <c r="O366" s="4">
        <f t="shared" si="9"/>
        <v>6.1700239999999997</v>
      </c>
    </row>
    <row r="367" spans="1:15" ht="22.5" customHeight="1" x14ac:dyDescent="0.25">
      <c r="A367" s="2" t="s">
        <v>26</v>
      </c>
      <c r="B367" s="2" t="s">
        <v>28</v>
      </c>
      <c r="C367" s="3">
        <v>43983</v>
      </c>
      <c r="D367" s="3">
        <v>43836</v>
      </c>
      <c r="E367" s="2">
        <v>4076</v>
      </c>
      <c r="F367" s="2">
        <v>553</v>
      </c>
      <c r="G367" s="2">
        <v>2.36</v>
      </c>
      <c r="H367" s="6" t="s">
        <v>21</v>
      </c>
      <c r="I367" s="2">
        <v>519</v>
      </c>
      <c r="J367" s="2">
        <v>2.61</v>
      </c>
      <c r="K367" s="4">
        <f t="shared" si="5"/>
        <v>1.2774300000000001</v>
      </c>
      <c r="L367" s="4">
        <f t="shared" si="6"/>
        <v>1.8342000000000001</v>
      </c>
      <c r="M367" s="5">
        <f t="shared" si="7"/>
        <v>0.18372599999999997</v>
      </c>
      <c r="N367" s="4">
        <f t="shared" si="8"/>
        <v>3.295356</v>
      </c>
      <c r="O367" s="4">
        <f t="shared" si="9"/>
        <v>0.68535600000000008</v>
      </c>
    </row>
    <row r="368" spans="1:15" ht="22.5" customHeight="1" x14ac:dyDescent="0.25">
      <c r="A368" s="2" t="s">
        <v>26</v>
      </c>
      <c r="B368" s="2" t="s">
        <v>28</v>
      </c>
      <c r="C368" s="3">
        <v>44013</v>
      </c>
      <c r="D368" s="3">
        <v>43837</v>
      </c>
      <c r="E368" s="2">
        <v>7623</v>
      </c>
      <c r="F368" s="2">
        <v>938</v>
      </c>
      <c r="G368" s="2">
        <v>7.12</v>
      </c>
      <c r="H368" s="6" t="s">
        <v>21</v>
      </c>
      <c r="I368" s="2">
        <v>419</v>
      </c>
      <c r="J368" s="2">
        <v>4.8</v>
      </c>
      <c r="K368" s="4">
        <f t="shared" si="5"/>
        <v>2.1667800000000002</v>
      </c>
      <c r="L368" s="4">
        <f t="shared" si="6"/>
        <v>3.4303499999999998</v>
      </c>
      <c r="M368" s="5">
        <f t="shared" si="7"/>
        <v>0.44749199999999995</v>
      </c>
      <c r="N368" s="4">
        <f t="shared" si="8"/>
        <v>6.0446219999999995</v>
      </c>
      <c r="O368" s="4">
        <f t="shared" si="9"/>
        <v>1.2446219999999997</v>
      </c>
    </row>
    <row r="369" spans="1:15" ht="22.5" customHeight="1" x14ac:dyDescent="0.25">
      <c r="A369" s="2" t="s">
        <v>26</v>
      </c>
      <c r="B369" s="2" t="s">
        <v>28</v>
      </c>
      <c r="C369" s="3">
        <v>44044</v>
      </c>
      <c r="D369" s="3">
        <v>43838</v>
      </c>
      <c r="E369" s="2">
        <v>3423</v>
      </c>
      <c r="F369" s="2">
        <v>334</v>
      </c>
      <c r="G369" s="2">
        <v>2.99</v>
      </c>
      <c r="H369" s="6" t="s">
        <v>20</v>
      </c>
      <c r="I369" s="2">
        <v>303</v>
      </c>
      <c r="J369" s="2">
        <v>4.1100000000000003</v>
      </c>
      <c r="K369" s="4">
        <f t="shared" si="5"/>
        <v>0.77154</v>
      </c>
      <c r="L369" s="4">
        <f t="shared" si="6"/>
        <v>1.5403500000000001</v>
      </c>
      <c r="M369" s="5">
        <f t="shared" si="7"/>
        <v>1.8119400000000001E-2</v>
      </c>
      <c r="N369" s="4">
        <f t="shared" si="8"/>
        <v>2.3300093999999998</v>
      </c>
      <c r="O369" s="4">
        <f t="shared" si="9"/>
        <v>-1.7799906000000005</v>
      </c>
    </row>
    <row r="370" spans="1:15" ht="22.5" customHeight="1" x14ac:dyDescent="0.25">
      <c r="A370" s="2" t="s">
        <v>26</v>
      </c>
      <c r="B370" s="2" t="s">
        <v>28</v>
      </c>
      <c r="C370" s="3">
        <v>44075</v>
      </c>
      <c r="D370" s="3">
        <v>43839</v>
      </c>
      <c r="E370" s="2">
        <v>9346</v>
      </c>
      <c r="F370" s="2">
        <v>650</v>
      </c>
      <c r="G370" s="2">
        <v>1.52</v>
      </c>
      <c r="H370" s="6" t="s">
        <v>20</v>
      </c>
      <c r="I370" s="2">
        <v>291</v>
      </c>
      <c r="J370" s="2">
        <v>9.84</v>
      </c>
      <c r="K370" s="4">
        <f t="shared" si="5"/>
        <v>1.5015000000000001</v>
      </c>
      <c r="L370" s="4">
        <f t="shared" si="6"/>
        <v>4.2057000000000002</v>
      </c>
      <c r="M370" s="5">
        <f t="shared" si="7"/>
        <v>8.8464000000000008E-3</v>
      </c>
      <c r="N370" s="4">
        <f t="shared" si="8"/>
        <v>5.7160464000000006</v>
      </c>
      <c r="O370" s="4">
        <f t="shared" si="9"/>
        <v>-4.1239535999999992</v>
      </c>
    </row>
    <row r="371" spans="1:15" ht="22.5" customHeight="1" x14ac:dyDescent="0.25">
      <c r="A371" s="2" t="s">
        <v>26</v>
      </c>
      <c r="B371" s="2" t="s">
        <v>28</v>
      </c>
      <c r="C371" s="3">
        <v>44105</v>
      </c>
      <c r="D371" s="3">
        <v>43840</v>
      </c>
      <c r="E371" s="2">
        <v>3627</v>
      </c>
      <c r="F371" s="2">
        <v>1002</v>
      </c>
      <c r="G371" s="2">
        <v>8.3000000000000007</v>
      </c>
      <c r="H371" s="6" t="s">
        <v>20</v>
      </c>
      <c r="I371" s="2">
        <v>957</v>
      </c>
      <c r="J371" s="2">
        <v>4.3899999999999997</v>
      </c>
      <c r="K371" s="4">
        <f t="shared" si="5"/>
        <v>2.3146199999999997</v>
      </c>
      <c r="L371" s="4">
        <f t="shared" si="6"/>
        <v>1.63215</v>
      </c>
      <c r="M371" s="5">
        <f t="shared" si="7"/>
        <v>0.15886200000000003</v>
      </c>
      <c r="N371" s="4">
        <f t="shared" si="8"/>
        <v>4.1056319999999999</v>
      </c>
      <c r="O371" s="4">
        <f t="shared" si="9"/>
        <v>-0.28436799999999973</v>
      </c>
    </row>
    <row r="372" spans="1:15" ht="22.5" customHeight="1" x14ac:dyDescent="0.25">
      <c r="A372" s="2" t="s">
        <v>26</v>
      </c>
      <c r="B372" s="2" t="s">
        <v>28</v>
      </c>
      <c r="C372" s="3">
        <v>44136</v>
      </c>
      <c r="D372" s="3">
        <v>43841</v>
      </c>
      <c r="E372" s="2">
        <v>5423</v>
      </c>
      <c r="F372" s="2">
        <v>522</v>
      </c>
      <c r="G372" s="2">
        <v>4.16</v>
      </c>
      <c r="H372" s="6" t="s">
        <v>20</v>
      </c>
      <c r="I372" s="2">
        <v>822</v>
      </c>
      <c r="J372" s="2">
        <v>8.0299999999999994</v>
      </c>
      <c r="K372" s="4">
        <f t="shared" si="5"/>
        <v>1.2058199999999999</v>
      </c>
      <c r="L372" s="4">
        <f t="shared" si="6"/>
        <v>2.44035</v>
      </c>
      <c r="M372" s="5">
        <f t="shared" si="7"/>
        <v>6.8390400000000018E-2</v>
      </c>
      <c r="N372" s="4">
        <f t="shared" si="8"/>
        <v>3.7145603999999999</v>
      </c>
      <c r="O372" s="4">
        <f t="shared" si="9"/>
        <v>-4.3154395999999995</v>
      </c>
    </row>
    <row r="373" spans="1:15" ht="22.5" customHeight="1" x14ac:dyDescent="0.25">
      <c r="A373" s="2" t="s">
        <v>26</v>
      </c>
      <c r="B373" s="2" t="s">
        <v>28</v>
      </c>
      <c r="C373" s="3">
        <v>44166</v>
      </c>
      <c r="D373" s="3">
        <v>43842</v>
      </c>
      <c r="E373" s="2">
        <v>6509</v>
      </c>
      <c r="F373" s="2">
        <v>897</v>
      </c>
      <c r="G373" s="2">
        <v>3.44</v>
      </c>
      <c r="H373" s="6" t="s">
        <v>18</v>
      </c>
      <c r="I373" s="2">
        <v>864</v>
      </c>
      <c r="J373" s="2">
        <v>8.77</v>
      </c>
      <c r="K373" s="4">
        <f t="shared" si="5"/>
        <v>2.0720700000000001</v>
      </c>
      <c r="L373" s="4">
        <f t="shared" si="6"/>
        <v>2.9290500000000002</v>
      </c>
      <c r="M373" s="5">
        <f t="shared" si="7"/>
        <v>1.7832959999999998</v>
      </c>
      <c r="N373" s="4">
        <f t="shared" si="8"/>
        <v>6.7844160000000002</v>
      </c>
      <c r="O373" s="4">
        <f t="shared" si="9"/>
        <v>-1.9855839999999993</v>
      </c>
    </row>
    <row r="374" spans="1:15" ht="22.5" customHeight="1" x14ac:dyDescent="0.25">
      <c r="A374" s="2" t="s">
        <v>26</v>
      </c>
      <c r="B374" s="2" t="s">
        <v>28</v>
      </c>
      <c r="C374" s="3">
        <v>44197</v>
      </c>
      <c r="D374" s="3">
        <v>44197</v>
      </c>
      <c r="E374" s="2">
        <v>5610</v>
      </c>
      <c r="F374" s="2">
        <v>1130</v>
      </c>
      <c r="G374" s="2">
        <v>5.63</v>
      </c>
      <c r="H374" s="6" t="s">
        <v>17</v>
      </c>
      <c r="I374" s="2">
        <v>763</v>
      </c>
      <c r="J374" s="2">
        <v>2.85</v>
      </c>
      <c r="K374" s="4">
        <f t="shared" si="5"/>
        <v>2.6103000000000001</v>
      </c>
      <c r="L374" s="4">
        <f t="shared" si="6"/>
        <v>2.5245000000000002</v>
      </c>
      <c r="M374" s="5">
        <f t="shared" si="7"/>
        <v>0.1288707</v>
      </c>
      <c r="N374" s="4">
        <f t="shared" si="8"/>
        <v>5.2636707000000005</v>
      </c>
      <c r="O374" s="4">
        <f t="shared" si="9"/>
        <v>2.4136707000000004</v>
      </c>
    </row>
    <row r="375" spans="1:15" ht="22.5" customHeight="1" x14ac:dyDescent="0.25">
      <c r="A375" s="2" t="s">
        <v>26</v>
      </c>
      <c r="B375" s="2" t="s">
        <v>28</v>
      </c>
      <c r="C375" s="3">
        <v>44228</v>
      </c>
      <c r="D375" s="3">
        <v>44198</v>
      </c>
      <c r="E375" s="2">
        <v>8881</v>
      </c>
      <c r="F375" s="2">
        <v>1054</v>
      </c>
      <c r="G375" s="2">
        <v>4.2300000000000004</v>
      </c>
      <c r="H375" s="6" t="s">
        <v>21</v>
      </c>
      <c r="I375" s="2">
        <v>551</v>
      </c>
      <c r="J375" s="2">
        <v>1.41</v>
      </c>
      <c r="K375" s="4">
        <f t="shared" si="5"/>
        <v>2.4347400000000001</v>
      </c>
      <c r="L375" s="4">
        <f t="shared" si="6"/>
        <v>3.9964500000000003</v>
      </c>
      <c r="M375" s="5">
        <f t="shared" si="7"/>
        <v>0.34960950000000002</v>
      </c>
      <c r="N375" s="4">
        <f t="shared" si="8"/>
        <v>6.7807995000000005</v>
      </c>
      <c r="O375" s="4">
        <f t="shared" si="9"/>
        <v>5.3707995000000004</v>
      </c>
    </row>
    <row r="376" spans="1:15" ht="22.5" customHeight="1" x14ac:dyDescent="0.25">
      <c r="A376" s="2" t="s">
        <v>26</v>
      </c>
      <c r="B376" s="2" t="s">
        <v>28</v>
      </c>
      <c r="C376" s="3">
        <v>44256</v>
      </c>
      <c r="D376" s="3">
        <v>44199</v>
      </c>
      <c r="E376" s="2">
        <v>7510</v>
      </c>
      <c r="F376" s="2">
        <v>372</v>
      </c>
      <c r="G376" s="2">
        <v>7.93</v>
      </c>
      <c r="H376" s="6" t="s">
        <v>21</v>
      </c>
      <c r="I376" s="2">
        <v>370</v>
      </c>
      <c r="J376" s="2">
        <v>0.28000000000000003</v>
      </c>
      <c r="K376" s="4">
        <f t="shared" si="5"/>
        <v>0.85932000000000008</v>
      </c>
      <c r="L376" s="4">
        <f t="shared" si="6"/>
        <v>3.3795000000000002</v>
      </c>
      <c r="M376" s="5">
        <f t="shared" si="7"/>
        <v>0.44011500000000003</v>
      </c>
      <c r="N376" s="4">
        <f t="shared" si="8"/>
        <v>4.678935000000001</v>
      </c>
      <c r="O376" s="4">
        <f t="shared" si="9"/>
        <v>4.3989350000000007</v>
      </c>
    </row>
    <row r="377" spans="1:15" ht="22.5" customHeight="1" x14ac:dyDescent="0.25">
      <c r="A377" s="2" t="s">
        <v>26</v>
      </c>
      <c r="B377" s="2" t="s">
        <v>28</v>
      </c>
      <c r="C377" s="3">
        <v>44287</v>
      </c>
      <c r="D377" s="3">
        <v>44200</v>
      </c>
      <c r="E377" s="2">
        <v>7429</v>
      </c>
      <c r="F377" s="2">
        <v>973</v>
      </c>
      <c r="G377" s="2">
        <v>7.47</v>
      </c>
      <c r="H377" s="6" t="s">
        <v>17</v>
      </c>
      <c r="I377" s="2">
        <v>854</v>
      </c>
      <c r="J377" s="2">
        <v>4.54</v>
      </c>
      <c r="K377" s="4">
        <f t="shared" si="5"/>
        <v>2.24763</v>
      </c>
      <c r="L377" s="4">
        <f t="shared" si="6"/>
        <v>3.3430500000000003</v>
      </c>
      <c r="M377" s="5">
        <f t="shared" si="7"/>
        <v>0.19138139999999998</v>
      </c>
      <c r="N377" s="4">
        <f t="shared" si="8"/>
        <v>5.7820614000000008</v>
      </c>
      <c r="O377" s="4">
        <f t="shared" si="9"/>
        <v>1.2420614000000008</v>
      </c>
    </row>
    <row r="378" spans="1:15" ht="22.5" customHeight="1" x14ac:dyDescent="0.25">
      <c r="A378" s="2" t="s">
        <v>26</v>
      </c>
      <c r="B378" s="2" t="s">
        <v>28</v>
      </c>
      <c r="C378" s="3">
        <v>44317</v>
      </c>
      <c r="D378" s="3">
        <v>44201</v>
      </c>
      <c r="E378" s="2">
        <v>8960</v>
      </c>
      <c r="F378" s="2">
        <v>417</v>
      </c>
      <c r="G378" s="2">
        <v>2.69</v>
      </c>
      <c r="H378" s="6" t="s">
        <v>20</v>
      </c>
      <c r="I378" s="2">
        <v>654</v>
      </c>
      <c r="J378" s="2">
        <v>4.58</v>
      </c>
      <c r="K378" s="4">
        <f t="shared" si="5"/>
        <v>0.96326999999999996</v>
      </c>
      <c r="L378" s="4">
        <f t="shared" si="6"/>
        <v>4.032</v>
      </c>
      <c r="M378" s="5">
        <f t="shared" si="7"/>
        <v>3.51852E-2</v>
      </c>
      <c r="N378" s="4">
        <f t="shared" si="8"/>
        <v>5.0304551999999996</v>
      </c>
      <c r="O378" s="4">
        <f t="shared" si="9"/>
        <v>0.4504551999999995</v>
      </c>
    </row>
    <row r="379" spans="1:15" ht="22.5" customHeight="1" x14ac:dyDescent="0.25">
      <c r="A379" s="2" t="s">
        <v>26</v>
      </c>
      <c r="B379" s="2" t="s">
        <v>28</v>
      </c>
      <c r="C379" s="3">
        <v>44348</v>
      </c>
      <c r="D379" s="3">
        <v>44202</v>
      </c>
      <c r="E379" s="2">
        <v>3103</v>
      </c>
      <c r="F379" s="2">
        <v>1110</v>
      </c>
      <c r="G379" s="2">
        <v>1.87</v>
      </c>
      <c r="H379" s="6" t="s">
        <v>21</v>
      </c>
      <c r="I379" s="2">
        <v>757</v>
      </c>
      <c r="J379" s="2">
        <v>8.1</v>
      </c>
      <c r="K379" s="4">
        <f t="shared" si="5"/>
        <v>2.5640999999999998</v>
      </c>
      <c r="L379" s="4">
        <f t="shared" si="6"/>
        <v>1.3963500000000002</v>
      </c>
      <c r="M379" s="5">
        <f t="shared" si="7"/>
        <v>0.21233850000000001</v>
      </c>
      <c r="N379" s="4">
        <f t="shared" si="8"/>
        <v>4.1727885000000002</v>
      </c>
      <c r="O379" s="4">
        <f t="shared" si="9"/>
        <v>-3.9272114999999994</v>
      </c>
    </row>
    <row r="380" spans="1:15" ht="22.5" customHeight="1" x14ac:dyDescent="0.25">
      <c r="A380" s="2" t="s">
        <v>26</v>
      </c>
      <c r="B380" s="2" t="s">
        <v>28</v>
      </c>
      <c r="C380" s="3">
        <v>44378</v>
      </c>
      <c r="D380" s="3">
        <v>44203</v>
      </c>
      <c r="E380" s="2">
        <v>3932</v>
      </c>
      <c r="F380" s="2">
        <v>600</v>
      </c>
      <c r="G380" s="2">
        <v>6.12</v>
      </c>
      <c r="H380" s="6" t="s">
        <v>17</v>
      </c>
      <c r="I380" s="2">
        <v>308</v>
      </c>
      <c r="J380" s="2">
        <v>6.39</v>
      </c>
      <c r="K380" s="4">
        <f t="shared" si="5"/>
        <v>1.3859999999999999</v>
      </c>
      <c r="L380" s="4">
        <f t="shared" si="6"/>
        <v>1.7694000000000001</v>
      </c>
      <c r="M380" s="5">
        <f t="shared" si="7"/>
        <v>5.6548800000000003E-2</v>
      </c>
      <c r="N380" s="4">
        <f t="shared" si="8"/>
        <v>3.2119488</v>
      </c>
      <c r="O380" s="4">
        <f t="shared" si="9"/>
        <v>-3.1780511999999996</v>
      </c>
    </row>
    <row r="381" spans="1:15" ht="22.5" customHeight="1" x14ac:dyDescent="0.25">
      <c r="A381" s="2" t="s">
        <v>26</v>
      </c>
      <c r="B381" s="2" t="s">
        <v>28</v>
      </c>
      <c r="C381" s="3">
        <v>44409</v>
      </c>
      <c r="D381" s="3">
        <v>44204</v>
      </c>
      <c r="E381" s="2">
        <v>8820</v>
      </c>
      <c r="F381" s="2">
        <v>828</v>
      </c>
      <c r="G381" s="2">
        <v>6.17</v>
      </c>
      <c r="H381" s="6" t="s">
        <v>17</v>
      </c>
      <c r="I381" s="2">
        <v>665</v>
      </c>
      <c r="J381" s="2">
        <v>3.38</v>
      </c>
      <c r="K381" s="4">
        <f t="shared" si="5"/>
        <v>1.9126800000000002</v>
      </c>
      <c r="L381" s="4">
        <f t="shared" si="6"/>
        <v>3.9689999999999999</v>
      </c>
      <c r="M381" s="5">
        <f t="shared" si="7"/>
        <v>0.12309149999999999</v>
      </c>
      <c r="N381" s="4">
        <f t="shared" si="8"/>
        <v>6.0047715000000004</v>
      </c>
      <c r="O381" s="4">
        <f t="shared" si="9"/>
        <v>2.6247715000000005</v>
      </c>
    </row>
    <row r="382" spans="1:15" ht="22.5" customHeight="1" x14ac:dyDescent="0.25">
      <c r="A382" s="2" t="s">
        <v>26</v>
      </c>
      <c r="B382" s="2" t="s">
        <v>28</v>
      </c>
      <c r="C382" s="3">
        <v>44440</v>
      </c>
      <c r="D382" s="3">
        <v>44205</v>
      </c>
      <c r="E382" s="2">
        <v>8303</v>
      </c>
      <c r="F382" s="2">
        <v>345</v>
      </c>
      <c r="G382" s="2">
        <v>6.55</v>
      </c>
      <c r="H382" s="6" t="s">
        <v>18</v>
      </c>
      <c r="I382" s="2">
        <v>250</v>
      </c>
      <c r="J382" s="2">
        <v>8.07</v>
      </c>
      <c r="K382" s="4">
        <f t="shared" si="5"/>
        <v>0.79695000000000005</v>
      </c>
      <c r="L382" s="4">
        <f t="shared" si="6"/>
        <v>3.7363499999999998</v>
      </c>
      <c r="M382" s="5">
        <f t="shared" si="7"/>
        <v>0.98250000000000004</v>
      </c>
      <c r="N382" s="4">
        <f t="shared" si="8"/>
        <v>5.5157999999999996</v>
      </c>
      <c r="O382" s="4">
        <f t="shared" si="9"/>
        <v>-2.5542000000000007</v>
      </c>
    </row>
    <row r="383" spans="1:15" ht="22.5" customHeight="1" x14ac:dyDescent="0.25">
      <c r="A383" s="2" t="s">
        <v>26</v>
      </c>
      <c r="B383" s="2" t="s">
        <v>28</v>
      </c>
      <c r="C383" s="3">
        <v>44470</v>
      </c>
      <c r="D383" s="3">
        <v>44206</v>
      </c>
      <c r="E383" s="2">
        <v>7249</v>
      </c>
      <c r="F383" s="2">
        <v>269</v>
      </c>
      <c r="G383" s="2">
        <v>7.87</v>
      </c>
      <c r="H383" s="6" t="s">
        <v>17</v>
      </c>
      <c r="I383" s="2">
        <v>248</v>
      </c>
      <c r="J383" s="2">
        <v>7.88</v>
      </c>
      <c r="K383" s="4">
        <f t="shared" si="5"/>
        <v>0.62139</v>
      </c>
      <c r="L383" s="4">
        <f t="shared" si="6"/>
        <v>3.2620500000000003</v>
      </c>
      <c r="M383" s="5">
        <f t="shared" si="7"/>
        <v>5.8552799999999995E-2</v>
      </c>
      <c r="N383" s="4">
        <f t="shared" si="8"/>
        <v>3.9419928000000004</v>
      </c>
      <c r="O383" s="4">
        <f t="shared" si="9"/>
        <v>-3.9380071999999995</v>
      </c>
    </row>
    <row r="384" spans="1:15" ht="22.5" customHeight="1" x14ac:dyDescent="0.25">
      <c r="A384" s="2" t="s">
        <v>26</v>
      </c>
      <c r="B384" s="2" t="s">
        <v>28</v>
      </c>
      <c r="C384" s="3">
        <v>44501</v>
      </c>
      <c r="D384" s="3">
        <v>44207</v>
      </c>
      <c r="E384" s="2">
        <v>4838</v>
      </c>
      <c r="F384" s="2">
        <v>286</v>
      </c>
      <c r="G384" s="2">
        <v>1.77</v>
      </c>
      <c r="H384" s="6" t="s">
        <v>20</v>
      </c>
      <c r="I384" s="2">
        <v>523</v>
      </c>
      <c r="J384" s="2">
        <v>3.79</v>
      </c>
      <c r="K384" s="4">
        <f t="shared" si="5"/>
        <v>0.66065999999999991</v>
      </c>
      <c r="L384" s="4">
        <f t="shared" si="6"/>
        <v>2.1770999999999998</v>
      </c>
      <c r="M384" s="5">
        <f t="shared" si="7"/>
        <v>1.8514200000000001E-2</v>
      </c>
      <c r="N384" s="4">
        <f t="shared" si="8"/>
        <v>2.8562741999999997</v>
      </c>
      <c r="O384" s="4">
        <f t="shared" si="9"/>
        <v>-0.93372580000000038</v>
      </c>
    </row>
    <row r="385" spans="1:15" ht="22.5" customHeight="1" x14ac:dyDescent="0.25">
      <c r="A385" s="2" t="s">
        <v>26</v>
      </c>
      <c r="B385" s="2" t="s">
        <v>28</v>
      </c>
      <c r="C385" s="3">
        <v>44531</v>
      </c>
      <c r="D385" s="3">
        <v>44208</v>
      </c>
      <c r="E385" s="2">
        <v>4382</v>
      </c>
      <c r="F385" s="2">
        <v>563</v>
      </c>
      <c r="G385" s="2">
        <v>3.22</v>
      </c>
      <c r="H385" s="6" t="s">
        <v>18</v>
      </c>
      <c r="I385" s="2">
        <v>617</v>
      </c>
      <c r="J385" s="2">
        <v>4.8099999999999996</v>
      </c>
      <c r="K385" s="4">
        <f t="shared" si="5"/>
        <v>1.30053</v>
      </c>
      <c r="L385" s="4">
        <f t="shared" si="6"/>
        <v>1.9719</v>
      </c>
      <c r="M385" s="5">
        <f t="shared" si="7"/>
        <v>1.1920440000000001</v>
      </c>
      <c r="N385" s="4">
        <f t="shared" si="8"/>
        <v>4.4644740000000001</v>
      </c>
      <c r="O385" s="4">
        <f t="shared" si="9"/>
        <v>-0.34552599999999956</v>
      </c>
    </row>
    <row r="386" spans="1:15" ht="22.5" customHeight="1" x14ac:dyDescent="0.25">
      <c r="A386" s="2" t="s">
        <v>26</v>
      </c>
      <c r="B386" s="2" t="s">
        <v>28</v>
      </c>
      <c r="C386" s="3">
        <v>44562</v>
      </c>
      <c r="D386" s="3">
        <v>44562</v>
      </c>
      <c r="E386" s="2">
        <v>7857</v>
      </c>
      <c r="F386" s="2">
        <v>1106</v>
      </c>
      <c r="G386" s="2">
        <v>4.76</v>
      </c>
      <c r="H386" s="6" t="s">
        <v>21</v>
      </c>
      <c r="I386" s="2">
        <v>667</v>
      </c>
      <c r="J386" s="2">
        <v>7.26</v>
      </c>
      <c r="K386" s="4">
        <f t="shared" si="5"/>
        <v>2.5548600000000001</v>
      </c>
      <c r="L386" s="4">
        <f t="shared" si="6"/>
        <v>3.53565</v>
      </c>
      <c r="M386" s="5">
        <f t="shared" si="7"/>
        <v>0.47623799999999994</v>
      </c>
      <c r="N386" s="4">
        <f t="shared" si="8"/>
        <v>6.5667480000000005</v>
      </c>
      <c r="O386" s="4">
        <f t="shared" si="9"/>
        <v>-0.69325199999999931</v>
      </c>
    </row>
    <row r="387" spans="1:15" ht="22.5" customHeight="1" x14ac:dyDescent="0.25">
      <c r="A387" s="2" t="s">
        <v>26</v>
      </c>
      <c r="B387" s="2" t="s">
        <v>28</v>
      </c>
      <c r="C387" s="3">
        <v>44593</v>
      </c>
      <c r="D387" s="3">
        <v>44563</v>
      </c>
      <c r="E387" s="2">
        <v>5960</v>
      </c>
      <c r="F387" s="2">
        <v>261</v>
      </c>
      <c r="G387" s="2">
        <v>6.15</v>
      </c>
      <c r="H387" s="6" t="s">
        <v>21</v>
      </c>
      <c r="I387" s="2">
        <v>909</v>
      </c>
      <c r="J387" s="2">
        <v>2.64</v>
      </c>
      <c r="K387" s="4">
        <f t="shared" si="5"/>
        <v>0.60290999999999995</v>
      </c>
      <c r="L387" s="4">
        <f t="shared" si="6"/>
        <v>2.6819999999999999</v>
      </c>
      <c r="M387" s="5">
        <f t="shared" si="7"/>
        <v>0.83855250000000003</v>
      </c>
      <c r="N387" s="4">
        <f t="shared" si="8"/>
        <v>4.1234625000000005</v>
      </c>
      <c r="O387" s="4">
        <f t="shared" si="9"/>
        <v>1.4834625000000004</v>
      </c>
    </row>
    <row r="388" spans="1:15" ht="22.5" customHeight="1" x14ac:dyDescent="0.25">
      <c r="A388" s="2" t="s">
        <v>26</v>
      </c>
      <c r="B388" s="2" t="s">
        <v>28</v>
      </c>
      <c r="C388" s="3">
        <v>44621</v>
      </c>
      <c r="D388" s="3">
        <v>44564</v>
      </c>
      <c r="E388" s="2">
        <v>3818</v>
      </c>
      <c r="F388" s="2">
        <v>988</v>
      </c>
      <c r="G388" s="2">
        <v>3.2</v>
      </c>
      <c r="H388" s="6" t="s">
        <v>18</v>
      </c>
      <c r="I388" s="2">
        <v>833</v>
      </c>
      <c r="J388" s="2">
        <v>1.54</v>
      </c>
      <c r="K388" s="4">
        <f t="shared" si="5"/>
        <v>2.2822800000000001</v>
      </c>
      <c r="L388" s="4">
        <f t="shared" si="6"/>
        <v>1.7181000000000002</v>
      </c>
      <c r="M388" s="5">
        <f t="shared" si="7"/>
        <v>1.5993599999999999</v>
      </c>
      <c r="N388" s="4">
        <f t="shared" si="8"/>
        <v>5.5997399999999997</v>
      </c>
      <c r="O388" s="4">
        <f t="shared" si="9"/>
        <v>4.0597399999999997</v>
      </c>
    </row>
    <row r="389" spans="1:15" ht="22.5" customHeight="1" x14ac:dyDescent="0.25">
      <c r="A389" s="2" t="s">
        <v>26</v>
      </c>
      <c r="B389" s="2" t="s">
        <v>28</v>
      </c>
      <c r="C389" s="3">
        <v>44652</v>
      </c>
      <c r="D389" s="3">
        <v>44565</v>
      </c>
      <c r="E389" s="2">
        <v>9608</v>
      </c>
      <c r="F389" s="2">
        <v>879</v>
      </c>
      <c r="G389" s="2">
        <v>9.1199999999999992</v>
      </c>
      <c r="H389" s="6" t="s">
        <v>18</v>
      </c>
      <c r="I389" s="2">
        <v>331</v>
      </c>
      <c r="J389" s="2">
        <v>7.41</v>
      </c>
      <c r="K389" s="4">
        <f t="shared" si="5"/>
        <v>2.0304899999999999</v>
      </c>
      <c r="L389" s="4">
        <f t="shared" si="6"/>
        <v>4.3236000000000008</v>
      </c>
      <c r="M389" s="5">
        <f t="shared" si="7"/>
        <v>1.8112319999999997</v>
      </c>
      <c r="N389" s="4">
        <f t="shared" si="8"/>
        <v>8.1653220000000015</v>
      </c>
      <c r="O389" s="4">
        <f t="shared" si="9"/>
        <v>0.75532200000000138</v>
      </c>
    </row>
    <row r="390" spans="1:15" ht="22.5" customHeight="1" x14ac:dyDescent="0.25">
      <c r="A390" s="2" t="s">
        <v>26</v>
      </c>
      <c r="B390" s="2" t="s">
        <v>28</v>
      </c>
      <c r="C390" s="3">
        <v>44682</v>
      </c>
      <c r="D390" s="3">
        <v>44566</v>
      </c>
      <c r="E390" s="2">
        <v>8488</v>
      </c>
      <c r="F390" s="2">
        <v>985</v>
      </c>
      <c r="G390" s="2">
        <v>7.76</v>
      </c>
      <c r="H390" s="6" t="s">
        <v>18</v>
      </c>
      <c r="I390" s="2">
        <v>610</v>
      </c>
      <c r="J390" s="2">
        <v>9.89</v>
      </c>
      <c r="K390" s="4">
        <f t="shared" si="5"/>
        <v>2.27535</v>
      </c>
      <c r="L390" s="4">
        <f t="shared" si="6"/>
        <v>3.8195999999999999</v>
      </c>
      <c r="M390" s="5">
        <f t="shared" si="7"/>
        <v>2.84016</v>
      </c>
      <c r="N390" s="4">
        <f t="shared" si="8"/>
        <v>8.9351099999999999</v>
      </c>
      <c r="O390" s="4">
        <f t="shared" si="9"/>
        <v>-0.95489000000000068</v>
      </c>
    </row>
    <row r="391" spans="1:15" ht="22.5" customHeight="1" x14ac:dyDescent="0.25">
      <c r="A391" s="2" t="s">
        <v>26</v>
      </c>
      <c r="B391" s="2" t="s">
        <v>28</v>
      </c>
      <c r="C391" s="3">
        <v>44713</v>
      </c>
      <c r="D391" s="3">
        <v>44567</v>
      </c>
      <c r="E391" s="2">
        <v>3186</v>
      </c>
      <c r="F391" s="2">
        <v>934</v>
      </c>
      <c r="G391" s="2">
        <v>2.0299999999999998</v>
      </c>
      <c r="H391" s="6" t="s">
        <v>20</v>
      </c>
      <c r="I391" s="2">
        <v>545</v>
      </c>
      <c r="J391" s="2">
        <v>4.93</v>
      </c>
      <c r="K391" s="4">
        <f t="shared" si="5"/>
        <v>2.15754</v>
      </c>
      <c r="L391" s="4">
        <f t="shared" si="6"/>
        <v>1.4337</v>
      </c>
      <c r="M391" s="5">
        <f t="shared" si="7"/>
        <v>2.2126999999999997E-2</v>
      </c>
      <c r="N391" s="4">
        <f t="shared" si="8"/>
        <v>3.6133669999999998</v>
      </c>
      <c r="O391" s="4">
        <f t="shared" si="9"/>
        <v>-1.3166329999999999</v>
      </c>
    </row>
    <row r="392" spans="1:15" ht="22.5" customHeight="1" x14ac:dyDescent="0.25">
      <c r="A392" s="2" t="s">
        <v>26</v>
      </c>
      <c r="B392" s="2" t="s">
        <v>28</v>
      </c>
      <c r="C392" s="3">
        <v>44743</v>
      </c>
      <c r="D392" s="3">
        <v>44568</v>
      </c>
      <c r="E392" s="2">
        <v>9032</v>
      </c>
      <c r="F392" s="2">
        <v>751</v>
      </c>
      <c r="G392" s="2">
        <v>5.89</v>
      </c>
      <c r="H392" s="6" t="s">
        <v>17</v>
      </c>
      <c r="I392" s="2">
        <v>91</v>
      </c>
      <c r="J392" s="2">
        <v>5.04</v>
      </c>
      <c r="K392" s="4">
        <f t="shared" si="5"/>
        <v>1.73481</v>
      </c>
      <c r="L392" s="4">
        <f t="shared" si="6"/>
        <v>4.0644</v>
      </c>
      <c r="M392" s="5">
        <f t="shared" si="7"/>
        <v>1.6079699999999999E-2</v>
      </c>
      <c r="N392" s="4">
        <f t="shared" si="8"/>
        <v>5.8152897000000001</v>
      </c>
      <c r="O392" s="4">
        <f t="shared" si="9"/>
        <v>0.77528970000000008</v>
      </c>
    </row>
    <row r="393" spans="1:15" ht="22.5" customHeight="1" x14ac:dyDescent="0.25">
      <c r="A393" s="2" t="s">
        <v>26</v>
      </c>
      <c r="B393" s="2" t="s">
        <v>28</v>
      </c>
      <c r="C393" s="3">
        <v>44774</v>
      </c>
      <c r="D393" s="3">
        <v>44569</v>
      </c>
      <c r="E393" s="2">
        <v>3974</v>
      </c>
      <c r="F393" s="2">
        <v>496</v>
      </c>
      <c r="G393" s="2">
        <v>2.09</v>
      </c>
      <c r="H393" s="6" t="s">
        <v>17</v>
      </c>
      <c r="I393" s="2">
        <v>227</v>
      </c>
      <c r="J393" s="2">
        <v>0.16</v>
      </c>
      <c r="K393" s="4">
        <f t="shared" si="5"/>
        <v>1.1457599999999999</v>
      </c>
      <c r="L393" s="4">
        <f t="shared" si="6"/>
        <v>1.7883</v>
      </c>
      <c r="M393" s="5">
        <f t="shared" si="7"/>
        <v>1.42329E-2</v>
      </c>
      <c r="N393" s="4">
        <f t="shared" si="8"/>
        <v>2.9482928999999998</v>
      </c>
      <c r="O393" s="4">
        <f t="shared" si="9"/>
        <v>2.7882928999999996</v>
      </c>
    </row>
    <row r="394" spans="1:15" ht="22.5" customHeight="1" x14ac:dyDescent="0.25">
      <c r="A394" s="2" t="s">
        <v>26</v>
      </c>
      <c r="B394" s="2" t="s">
        <v>28</v>
      </c>
      <c r="C394" s="3">
        <v>44805</v>
      </c>
      <c r="D394" s="3">
        <v>44570</v>
      </c>
      <c r="E394" s="2">
        <v>9673</v>
      </c>
      <c r="F394" s="2">
        <v>1032</v>
      </c>
      <c r="G394" s="2">
        <v>9.49</v>
      </c>
      <c r="H394" s="6" t="s">
        <v>21</v>
      </c>
      <c r="I394" s="2">
        <v>125</v>
      </c>
      <c r="J394" s="2">
        <v>2.5299999999999998</v>
      </c>
      <c r="K394" s="4">
        <f t="shared" si="5"/>
        <v>2.3839200000000003</v>
      </c>
      <c r="L394" s="4">
        <f t="shared" si="6"/>
        <v>4.3528500000000001</v>
      </c>
      <c r="M394" s="5">
        <f t="shared" si="7"/>
        <v>0.1779375</v>
      </c>
      <c r="N394" s="4">
        <f t="shared" si="8"/>
        <v>6.9147074999999996</v>
      </c>
      <c r="O394" s="4">
        <f t="shared" si="9"/>
        <v>4.3847074999999993</v>
      </c>
    </row>
    <row r="395" spans="1:15" ht="22.5" customHeight="1" x14ac:dyDescent="0.25">
      <c r="A395" s="2" t="s">
        <v>26</v>
      </c>
      <c r="B395" s="2" t="s">
        <v>28</v>
      </c>
      <c r="C395" s="3">
        <v>44835</v>
      </c>
      <c r="D395" s="3">
        <v>44571</v>
      </c>
      <c r="E395" s="2">
        <v>4615</v>
      </c>
      <c r="F395" s="2">
        <v>489</v>
      </c>
      <c r="G395" s="2">
        <v>9.25</v>
      </c>
      <c r="H395" s="6" t="s">
        <v>21</v>
      </c>
      <c r="I395" s="2">
        <v>996</v>
      </c>
      <c r="J395" s="2">
        <v>0.55000000000000004</v>
      </c>
      <c r="K395" s="4">
        <f t="shared" si="5"/>
        <v>1.1295899999999999</v>
      </c>
      <c r="L395" s="4">
        <f t="shared" si="6"/>
        <v>2.0767500000000001</v>
      </c>
      <c r="M395" s="5">
        <f t="shared" si="7"/>
        <v>1.38195</v>
      </c>
      <c r="N395" s="4">
        <f t="shared" si="8"/>
        <v>4.5882899999999998</v>
      </c>
      <c r="O395" s="4">
        <f t="shared" si="9"/>
        <v>4.0382899999999999</v>
      </c>
    </row>
    <row r="396" spans="1:15" ht="22.5" customHeight="1" x14ac:dyDescent="0.25">
      <c r="A396" s="2" t="s">
        <v>26</v>
      </c>
      <c r="B396" s="2" t="s">
        <v>28</v>
      </c>
      <c r="C396" s="3">
        <v>44866</v>
      </c>
      <c r="D396" s="3">
        <v>44572</v>
      </c>
      <c r="E396" s="2">
        <v>3694</v>
      </c>
      <c r="F396" s="2">
        <v>475</v>
      </c>
      <c r="G396" s="2">
        <v>1.51</v>
      </c>
      <c r="H396" s="6" t="s">
        <v>20</v>
      </c>
      <c r="I396" s="2">
        <v>657</v>
      </c>
      <c r="J396" s="2">
        <v>5.18</v>
      </c>
      <c r="K396" s="4">
        <f t="shared" si="5"/>
        <v>1.0972500000000001</v>
      </c>
      <c r="L396" s="4">
        <f t="shared" si="6"/>
        <v>1.6622999999999999</v>
      </c>
      <c r="M396" s="5">
        <f t="shared" si="7"/>
        <v>1.9841399999999999E-2</v>
      </c>
      <c r="N396" s="4">
        <f t="shared" si="8"/>
        <v>2.7793913999999997</v>
      </c>
      <c r="O396" s="4">
        <f t="shared" si="9"/>
        <v>-2.4006086</v>
      </c>
    </row>
    <row r="397" spans="1:15" ht="22.5" customHeight="1" x14ac:dyDescent="0.25">
      <c r="A397" s="2" t="s">
        <v>26</v>
      </c>
      <c r="B397" s="2" t="s">
        <v>28</v>
      </c>
      <c r="C397" s="3">
        <v>44896</v>
      </c>
      <c r="D397" s="3">
        <v>44573</v>
      </c>
      <c r="E397" s="2">
        <v>7286</v>
      </c>
      <c r="F397" s="2">
        <v>1089</v>
      </c>
      <c r="G397" s="2">
        <v>3.17</v>
      </c>
      <c r="H397" s="6" t="s">
        <v>21</v>
      </c>
      <c r="I397" s="2">
        <v>444</v>
      </c>
      <c r="J397" s="2">
        <v>4.0999999999999996</v>
      </c>
      <c r="K397" s="4">
        <f t="shared" si="5"/>
        <v>2.51559</v>
      </c>
      <c r="L397" s="4">
        <f t="shared" si="6"/>
        <v>3.2787000000000002</v>
      </c>
      <c r="M397" s="5">
        <f t="shared" si="7"/>
        <v>0.21112199999999998</v>
      </c>
      <c r="N397" s="4">
        <f t="shared" si="8"/>
        <v>6.0054119999999998</v>
      </c>
      <c r="O397" s="4">
        <f t="shared" si="9"/>
        <v>1.9054120000000001</v>
      </c>
    </row>
    <row r="398" spans="1:15" ht="22.5" customHeight="1" x14ac:dyDescent="0.25">
      <c r="A398" s="2" t="s">
        <v>26</v>
      </c>
      <c r="B398" s="2" t="s">
        <v>28</v>
      </c>
      <c r="C398" s="3">
        <v>44927</v>
      </c>
      <c r="D398" s="3">
        <v>44927</v>
      </c>
      <c r="E398" s="2">
        <v>7014</v>
      </c>
      <c r="F398" s="2">
        <v>361</v>
      </c>
      <c r="G398" s="2">
        <v>5.63</v>
      </c>
      <c r="H398" s="6" t="s">
        <v>21</v>
      </c>
      <c r="I398" s="2">
        <v>782</v>
      </c>
      <c r="J398" s="2">
        <v>7.45</v>
      </c>
      <c r="K398" s="4">
        <f t="shared" si="5"/>
        <v>0.83390999999999993</v>
      </c>
      <c r="L398" s="4">
        <f t="shared" si="6"/>
        <v>3.1563000000000003</v>
      </c>
      <c r="M398" s="5">
        <f t="shared" si="7"/>
        <v>0.66039899999999996</v>
      </c>
      <c r="N398" s="4">
        <f t="shared" si="8"/>
        <v>4.6506090000000002</v>
      </c>
      <c r="O398" s="4">
        <f t="shared" si="9"/>
        <v>-2.799391</v>
      </c>
    </row>
    <row r="399" spans="1:15" ht="22.5" customHeight="1" x14ac:dyDescent="0.25">
      <c r="A399" s="2" t="s">
        <v>26</v>
      </c>
      <c r="B399" s="2" t="s">
        <v>28</v>
      </c>
      <c r="C399" s="3">
        <v>44958</v>
      </c>
      <c r="D399" s="3">
        <v>44928</v>
      </c>
      <c r="E399" s="2">
        <v>4056</v>
      </c>
      <c r="F399" s="2">
        <v>939</v>
      </c>
      <c r="G399" s="2">
        <v>1.86</v>
      </c>
      <c r="H399" s="6" t="s">
        <v>18</v>
      </c>
      <c r="I399" s="2">
        <v>588</v>
      </c>
      <c r="J399" s="2">
        <v>1.08</v>
      </c>
      <c r="K399" s="4">
        <f t="shared" si="5"/>
        <v>2.1690900000000002</v>
      </c>
      <c r="L399" s="4">
        <f t="shared" si="6"/>
        <v>1.8252000000000002</v>
      </c>
      <c r="M399" s="5">
        <f t="shared" si="7"/>
        <v>0.65620800000000012</v>
      </c>
      <c r="N399" s="4">
        <f t="shared" si="8"/>
        <v>4.6504980000000007</v>
      </c>
      <c r="O399" s="4">
        <f t="shared" si="9"/>
        <v>3.5704980000000006</v>
      </c>
    </row>
    <row r="400" spans="1:15" ht="22.5" customHeight="1" x14ac:dyDescent="0.25">
      <c r="A400" s="2" t="s">
        <v>26</v>
      </c>
      <c r="B400" s="2" t="s">
        <v>28</v>
      </c>
      <c r="C400" s="3">
        <v>44986</v>
      </c>
      <c r="D400" s="3">
        <v>44929</v>
      </c>
      <c r="E400" s="2">
        <v>5713</v>
      </c>
      <c r="F400" s="2">
        <v>409</v>
      </c>
      <c r="G400" s="2">
        <v>2.2200000000000002</v>
      </c>
      <c r="H400" s="6" t="s">
        <v>20</v>
      </c>
      <c r="I400" s="2">
        <v>948</v>
      </c>
      <c r="J400" s="2">
        <v>2.15</v>
      </c>
      <c r="K400" s="4">
        <f t="shared" si="5"/>
        <v>0.94479000000000013</v>
      </c>
      <c r="L400" s="4">
        <f t="shared" si="6"/>
        <v>2.5708500000000001</v>
      </c>
      <c r="M400" s="5">
        <f t="shared" si="7"/>
        <v>4.2091200000000009E-2</v>
      </c>
      <c r="N400" s="4">
        <f t="shared" si="8"/>
        <v>3.5577312000000005</v>
      </c>
      <c r="O400" s="4">
        <f t="shared" si="9"/>
        <v>1.4077312000000006</v>
      </c>
    </row>
    <row r="401" spans="1:15" ht="22.5" customHeight="1" x14ac:dyDescent="0.25">
      <c r="A401" s="2" t="s">
        <v>26</v>
      </c>
      <c r="B401" s="2" t="s">
        <v>28</v>
      </c>
      <c r="C401" s="3">
        <v>45017</v>
      </c>
      <c r="D401" s="3">
        <v>44930</v>
      </c>
      <c r="E401" s="2">
        <v>5976</v>
      </c>
      <c r="F401" s="2">
        <v>881</v>
      </c>
      <c r="G401" s="2">
        <v>1.47</v>
      </c>
      <c r="H401" s="6" t="s">
        <v>21</v>
      </c>
      <c r="I401" s="2">
        <v>944</v>
      </c>
      <c r="J401" s="2">
        <v>1.7</v>
      </c>
      <c r="K401" s="4">
        <f t="shared" si="5"/>
        <v>2.03511</v>
      </c>
      <c r="L401" s="4">
        <f t="shared" si="6"/>
        <v>2.6892000000000005</v>
      </c>
      <c r="M401" s="5">
        <f t="shared" si="7"/>
        <v>0.20815199999999998</v>
      </c>
      <c r="N401" s="4">
        <f t="shared" si="8"/>
        <v>4.932462000000001</v>
      </c>
      <c r="O401" s="4">
        <f t="shared" si="9"/>
        <v>3.2324620000000008</v>
      </c>
    </row>
    <row r="402" spans="1:15" ht="22.5" customHeight="1" x14ac:dyDescent="0.25">
      <c r="A402" s="2" t="s">
        <v>26</v>
      </c>
      <c r="B402" s="2" t="s">
        <v>28</v>
      </c>
      <c r="C402" s="3">
        <v>45047</v>
      </c>
      <c r="D402" s="3">
        <v>44931</v>
      </c>
      <c r="E402" s="2">
        <v>6398</v>
      </c>
      <c r="F402" s="2">
        <v>353</v>
      </c>
      <c r="G402" s="2">
        <v>6.67</v>
      </c>
      <c r="H402" s="6" t="s">
        <v>17</v>
      </c>
      <c r="I402" s="2">
        <v>481</v>
      </c>
      <c r="J402" s="2">
        <v>7.47</v>
      </c>
      <c r="K402" s="4">
        <f t="shared" si="5"/>
        <v>0.8154300000000001</v>
      </c>
      <c r="L402" s="4">
        <f t="shared" si="6"/>
        <v>2.8790999999999998</v>
      </c>
      <c r="M402" s="5">
        <f t="shared" si="7"/>
        <v>9.6248099999999989E-2</v>
      </c>
      <c r="N402" s="4">
        <f t="shared" si="8"/>
        <v>3.7907780999999998</v>
      </c>
      <c r="O402" s="4">
        <f t="shared" si="9"/>
        <v>-3.6792218999999999</v>
      </c>
    </row>
    <row r="403" spans="1:15" ht="22.5" customHeight="1" x14ac:dyDescent="0.25">
      <c r="A403" s="2" t="s">
        <v>26</v>
      </c>
      <c r="B403" s="2" t="s">
        <v>28</v>
      </c>
      <c r="C403" s="3">
        <v>45078</v>
      </c>
      <c r="D403" s="3">
        <v>44932</v>
      </c>
      <c r="E403" s="2">
        <v>8471</v>
      </c>
      <c r="F403" s="2">
        <v>1033</v>
      </c>
      <c r="G403" s="2">
        <v>4.8899999999999997</v>
      </c>
      <c r="H403" s="6" t="s">
        <v>18</v>
      </c>
      <c r="I403" s="2">
        <v>962</v>
      </c>
      <c r="J403" s="2">
        <v>5.38</v>
      </c>
      <c r="K403" s="4">
        <f t="shared" si="5"/>
        <v>2.3862299999999999</v>
      </c>
      <c r="L403" s="4">
        <f t="shared" si="6"/>
        <v>3.8119500000000004</v>
      </c>
      <c r="M403" s="5">
        <f t="shared" si="7"/>
        <v>2.8225079999999996</v>
      </c>
      <c r="N403" s="4">
        <f t="shared" si="8"/>
        <v>9.0206879999999998</v>
      </c>
      <c r="O403" s="4">
        <f t="shared" si="9"/>
        <v>3.6406879999999999</v>
      </c>
    </row>
    <row r="404" spans="1:15" ht="22.5" customHeight="1" x14ac:dyDescent="0.25">
      <c r="A404" s="2" t="s">
        <v>26</v>
      </c>
      <c r="B404" s="2" t="s">
        <v>28</v>
      </c>
      <c r="C404" s="3">
        <v>45108</v>
      </c>
      <c r="D404" s="3">
        <v>44933</v>
      </c>
      <c r="E404" s="2">
        <v>9192</v>
      </c>
      <c r="F404" s="2">
        <v>754</v>
      </c>
      <c r="G404" s="2">
        <v>5.17</v>
      </c>
      <c r="H404" s="6" t="s">
        <v>20</v>
      </c>
      <c r="I404" s="2">
        <v>382</v>
      </c>
      <c r="J404" s="2">
        <v>6.69</v>
      </c>
      <c r="K404" s="4">
        <f t="shared" si="5"/>
        <v>1.7417400000000001</v>
      </c>
      <c r="L404" s="4">
        <f t="shared" si="6"/>
        <v>4.136400000000001</v>
      </c>
      <c r="M404" s="5">
        <f t="shared" si="7"/>
        <v>3.9498800000000001E-2</v>
      </c>
      <c r="N404" s="4">
        <f t="shared" si="8"/>
        <v>5.9176388000000006</v>
      </c>
      <c r="O404" s="4">
        <f t="shared" si="9"/>
        <v>-0.77236119999999975</v>
      </c>
    </row>
    <row r="405" spans="1:15" ht="22.5" customHeight="1" x14ac:dyDescent="0.25">
      <c r="A405" s="2" t="s">
        <v>26</v>
      </c>
      <c r="B405" s="2" t="s">
        <v>28</v>
      </c>
      <c r="C405" s="3">
        <v>45139</v>
      </c>
      <c r="D405" s="3">
        <v>44934</v>
      </c>
      <c r="E405" s="2">
        <v>7940</v>
      </c>
      <c r="F405" s="2">
        <v>969</v>
      </c>
      <c r="G405" s="2">
        <v>4.3899999999999997</v>
      </c>
      <c r="H405" s="6" t="s">
        <v>21</v>
      </c>
      <c r="I405" s="2">
        <v>902</v>
      </c>
      <c r="J405" s="2">
        <v>9.6300000000000008</v>
      </c>
      <c r="K405" s="4">
        <f t="shared" si="5"/>
        <v>2.2383899999999999</v>
      </c>
      <c r="L405" s="4">
        <f t="shared" si="6"/>
        <v>3.573</v>
      </c>
      <c r="M405" s="5">
        <f t="shared" si="7"/>
        <v>0.59396699999999991</v>
      </c>
      <c r="N405" s="4">
        <f t="shared" si="8"/>
        <v>6.4053569999999995</v>
      </c>
      <c r="O405" s="4">
        <f t="shared" si="9"/>
        <v>-3.2246430000000013</v>
      </c>
    </row>
    <row r="406" spans="1:15" ht="22.5" customHeight="1" x14ac:dyDescent="0.25">
      <c r="A406" s="2" t="s">
        <v>26</v>
      </c>
      <c r="B406" s="2" t="s">
        <v>28</v>
      </c>
      <c r="C406" s="3">
        <v>45170</v>
      </c>
      <c r="D406" s="3">
        <v>44935</v>
      </c>
      <c r="E406" s="2">
        <v>3432</v>
      </c>
      <c r="F406" s="2">
        <v>359</v>
      </c>
      <c r="G406" s="2">
        <v>7.21</v>
      </c>
      <c r="H406" s="6" t="s">
        <v>18</v>
      </c>
      <c r="I406" s="2">
        <v>409</v>
      </c>
      <c r="J406" s="2">
        <v>9.61</v>
      </c>
      <c r="K406" s="4">
        <f t="shared" si="5"/>
        <v>0.82928999999999997</v>
      </c>
      <c r="L406" s="4">
        <f t="shared" si="6"/>
        <v>1.5444</v>
      </c>
      <c r="M406" s="5">
        <f t="shared" si="7"/>
        <v>1.7693339999999997</v>
      </c>
      <c r="N406" s="4">
        <f t="shared" si="8"/>
        <v>4.1430239999999996</v>
      </c>
      <c r="O406" s="4">
        <f t="shared" si="9"/>
        <v>-5.4669759999999998</v>
      </c>
    </row>
    <row r="407" spans="1:15" ht="22.5" customHeight="1" x14ac:dyDescent="0.25">
      <c r="A407" s="2" t="s">
        <v>26</v>
      </c>
      <c r="B407" s="2" t="s">
        <v>28</v>
      </c>
      <c r="C407" s="3">
        <v>45200</v>
      </c>
      <c r="D407" s="3">
        <v>44936</v>
      </c>
      <c r="E407" s="2">
        <v>5136</v>
      </c>
      <c r="F407" s="2">
        <v>1122</v>
      </c>
      <c r="G407" s="2">
        <v>4.68</v>
      </c>
      <c r="H407" s="6" t="s">
        <v>21</v>
      </c>
      <c r="I407" s="2">
        <v>234</v>
      </c>
      <c r="J407" s="2">
        <v>5.33</v>
      </c>
      <c r="K407" s="4">
        <f t="shared" si="5"/>
        <v>2.5918200000000002</v>
      </c>
      <c r="L407" s="4">
        <f t="shared" si="6"/>
        <v>2.3112000000000004</v>
      </c>
      <c r="M407" s="5">
        <f t="shared" si="7"/>
        <v>0.164268</v>
      </c>
      <c r="N407" s="4">
        <f t="shared" si="8"/>
        <v>5.0672880000000005</v>
      </c>
      <c r="O407" s="4">
        <f t="shared" si="9"/>
        <v>-0.26271199999999961</v>
      </c>
    </row>
    <row r="408" spans="1:15" ht="22.5" customHeight="1" x14ac:dyDescent="0.25">
      <c r="A408" s="2" t="s">
        <v>26</v>
      </c>
      <c r="B408" s="2" t="s">
        <v>28</v>
      </c>
      <c r="C408" s="3">
        <v>45231</v>
      </c>
      <c r="D408" s="3">
        <v>44937</v>
      </c>
      <c r="E408" s="2">
        <v>4200</v>
      </c>
      <c r="F408" s="2">
        <v>815</v>
      </c>
      <c r="G408" s="2">
        <v>1.08</v>
      </c>
      <c r="H408" s="6" t="s">
        <v>17</v>
      </c>
      <c r="I408" s="2">
        <v>277</v>
      </c>
      <c r="J408" s="2">
        <v>3.71</v>
      </c>
      <c r="K408" s="4">
        <f t="shared" si="5"/>
        <v>1.8826500000000002</v>
      </c>
      <c r="L408" s="4">
        <f t="shared" si="6"/>
        <v>1.89</v>
      </c>
      <c r="M408" s="5">
        <f t="shared" si="7"/>
        <v>8.9748000000000015E-3</v>
      </c>
      <c r="N408" s="4">
        <f t="shared" si="8"/>
        <v>3.7816247999999999</v>
      </c>
      <c r="O408" s="4">
        <f t="shared" si="9"/>
        <v>7.1624799999999933E-2</v>
      </c>
    </row>
    <row r="409" spans="1:15" ht="22.5" customHeight="1" x14ac:dyDescent="0.25">
      <c r="A409" s="2" t="s">
        <v>26</v>
      </c>
      <c r="B409" s="2" t="s">
        <v>28</v>
      </c>
      <c r="C409" s="3">
        <v>45261</v>
      </c>
      <c r="D409" s="3">
        <v>44938</v>
      </c>
      <c r="E409" s="2">
        <v>6387</v>
      </c>
      <c r="F409" s="2">
        <v>965</v>
      </c>
      <c r="G409" s="2">
        <v>4.76</v>
      </c>
      <c r="H409" s="6" t="s">
        <v>21</v>
      </c>
      <c r="I409" s="2">
        <v>989</v>
      </c>
      <c r="J409" s="2">
        <v>3.18</v>
      </c>
      <c r="K409" s="4">
        <f t="shared" si="5"/>
        <v>2.2291500000000002</v>
      </c>
      <c r="L409" s="4">
        <f t="shared" si="6"/>
        <v>2.8741500000000002</v>
      </c>
      <c r="M409" s="5">
        <f t="shared" si="7"/>
        <v>0.70614599999999994</v>
      </c>
      <c r="N409" s="4">
        <f t="shared" si="8"/>
        <v>5.8094460000000012</v>
      </c>
      <c r="O409" s="4">
        <f t="shared" si="9"/>
        <v>2.6294460000000011</v>
      </c>
    </row>
    <row r="410" spans="1:15" ht="22.5" customHeight="1" x14ac:dyDescent="0.25">
      <c r="A410" s="2" t="s">
        <v>26</v>
      </c>
      <c r="B410" s="2" t="s">
        <v>28</v>
      </c>
      <c r="C410" s="3">
        <v>45292</v>
      </c>
      <c r="D410" s="3">
        <v>45292</v>
      </c>
      <c r="E410" s="2">
        <v>4322</v>
      </c>
      <c r="F410" s="2">
        <v>289</v>
      </c>
      <c r="G410" s="2">
        <v>9.52</v>
      </c>
      <c r="H410" s="6" t="s">
        <v>18</v>
      </c>
      <c r="I410" s="2">
        <v>950</v>
      </c>
      <c r="J410" s="2">
        <v>2.56</v>
      </c>
      <c r="K410" s="4">
        <f t="shared" si="5"/>
        <v>0.66759000000000002</v>
      </c>
      <c r="L410" s="4">
        <f t="shared" si="6"/>
        <v>1.9449000000000001</v>
      </c>
      <c r="M410" s="5">
        <f t="shared" si="7"/>
        <v>5.4263999999999992</v>
      </c>
      <c r="N410" s="4">
        <f t="shared" si="8"/>
        <v>8.0388899999999985</v>
      </c>
      <c r="O410" s="4">
        <f t="shared" si="9"/>
        <v>5.478889999999998</v>
      </c>
    </row>
    <row r="411" spans="1:15" ht="22.5" customHeight="1" x14ac:dyDescent="0.25">
      <c r="A411" s="2" t="s">
        <v>26</v>
      </c>
      <c r="B411" s="2" t="s">
        <v>28</v>
      </c>
      <c r="C411" s="3">
        <v>45323</v>
      </c>
      <c r="D411" s="3">
        <v>45293</v>
      </c>
      <c r="E411" s="2">
        <v>7831</v>
      </c>
      <c r="F411" s="2">
        <v>898</v>
      </c>
      <c r="G411" s="2">
        <v>1.33</v>
      </c>
      <c r="H411" s="6" t="s">
        <v>17</v>
      </c>
      <c r="I411" s="2">
        <v>451</v>
      </c>
      <c r="J411" s="2">
        <v>3.1</v>
      </c>
      <c r="K411" s="4">
        <f t="shared" si="5"/>
        <v>2.0743800000000001</v>
      </c>
      <c r="L411" s="4">
        <f t="shared" si="6"/>
        <v>3.5239500000000001</v>
      </c>
      <c r="M411" s="5">
        <f t="shared" si="7"/>
        <v>1.7994900000000001E-2</v>
      </c>
      <c r="N411" s="4">
        <f t="shared" si="8"/>
        <v>5.6163249000000004</v>
      </c>
      <c r="O411" s="4">
        <f t="shared" si="9"/>
        <v>2.5163249000000003</v>
      </c>
    </row>
    <row r="412" spans="1:15" ht="22.5" customHeight="1" x14ac:dyDescent="0.25">
      <c r="A412" s="2" t="s">
        <v>26</v>
      </c>
      <c r="B412" s="2" t="s">
        <v>28</v>
      </c>
      <c r="C412" s="3">
        <v>45352</v>
      </c>
      <c r="D412" s="3">
        <v>45294</v>
      </c>
      <c r="E412" s="2">
        <v>6058</v>
      </c>
      <c r="F412" s="2">
        <v>698</v>
      </c>
      <c r="G412" s="2">
        <v>1.59</v>
      </c>
      <c r="H412" s="6" t="s">
        <v>20</v>
      </c>
      <c r="I412" s="2">
        <v>722</v>
      </c>
      <c r="J412" s="2">
        <v>3.48</v>
      </c>
      <c r="K412" s="4">
        <f t="shared" si="5"/>
        <v>1.6123800000000001</v>
      </c>
      <c r="L412" s="4">
        <f t="shared" si="6"/>
        <v>2.7260999999999997</v>
      </c>
      <c r="M412" s="5">
        <f t="shared" si="7"/>
        <v>2.29596E-2</v>
      </c>
      <c r="N412" s="4">
        <f t="shared" si="8"/>
        <v>4.3614395999999997</v>
      </c>
      <c r="O412" s="4">
        <f t="shared" si="9"/>
        <v>0.88143959999999977</v>
      </c>
    </row>
    <row r="413" spans="1:15" ht="22.5" customHeight="1" x14ac:dyDescent="0.25">
      <c r="A413" s="2" t="s">
        <v>26</v>
      </c>
      <c r="B413" s="2" t="s">
        <v>28</v>
      </c>
      <c r="C413" s="3">
        <v>45383</v>
      </c>
      <c r="D413" s="3">
        <v>45295</v>
      </c>
      <c r="E413" s="2">
        <v>9327</v>
      </c>
      <c r="F413" s="2">
        <v>878</v>
      </c>
      <c r="G413" s="2">
        <v>8.92</v>
      </c>
      <c r="H413" s="6" t="s">
        <v>21</v>
      </c>
      <c r="I413" s="2">
        <v>663</v>
      </c>
      <c r="J413" s="2">
        <v>7.81</v>
      </c>
      <c r="K413" s="4">
        <f t="shared" si="5"/>
        <v>2.0281799999999999</v>
      </c>
      <c r="L413" s="4">
        <f t="shared" si="6"/>
        <v>4.1971500000000006</v>
      </c>
      <c r="M413" s="5">
        <f t="shared" si="7"/>
        <v>0.88709400000000005</v>
      </c>
      <c r="N413" s="4">
        <f t="shared" si="8"/>
        <v>7.1124240000000007</v>
      </c>
      <c r="O413" s="4">
        <f t="shared" si="9"/>
        <v>-0.69757599999999886</v>
      </c>
    </row>
    <row r="414" spans="1:15" ht="22.5" customHeight="1" x14ac:dyDescent="0.25">
      <c r="A414" s="2" t="s">
        <v>26</v>
      </c>
      <c r="B414" s="2" t="s">
        <v>28</v>
      </c>
      <c r="C414" s="3">
        <v>45413</v>
      </c>
      <c r="D414" s="3">
        <v>45296</v>
      </c>
      <c r="E414" s="2">
        <v>9823</v>
      </c>
      <c r="F414" s="2">
        <v>659</v>
      </c>
      <c r="G414" s="2">
        <v>1.51</v>
      </c>
      <c r="H414" s="6" t="s">
        <v>18</v>
      </c>
      <c r="I414" s="2">
        <v>254</v>
      </c>
      <c r="J414" s="2">
        <v>0.68</v>
      </c>
      <c r="K414" s="4">
        <f t="shared" si="5"/>
        <v>1.5222899999999999</v>
      </c>
      <c r="L414" s="4">
        <f t="shared" si="6"/>
        <v>4.42035</v>
      </c>
      <c r="M414" s="5">
        <f t="shared" si="7"/>
        <v>0.23012400000000002</v>
      </c>
      <c r="N414" s="4">
        <f t="shared" si="8"/>
        <v>6.1727639999999999</v>
      </c>
      <c r="O414" s="4">
        <f t="shared" si="9"/>
        <v>5.4927640000000002</v>
      </c>
    </row>
    <row r="415" spans="1:15" ht="22.5" customHeight="1" x14ac:dyDescent="0.25">
      <c r="A415" s="2" t="s">
        <v>26</v>
      </c>
      <c r="B415" s="2" t="s">
        <v>28</v>
      </c>
      <c r="C415" s="3">
        <v>45444</v>
      </c>
      <c r="D415" s="3">
        <v>45297</v>
      </c>
      <c r="E415" s="2">
        <v>8931</v>
      </c>
      <c r="F415" s="2">
        <v>753</v>
      </c>
      <c r="G415" s="2">
        <v>5.69</v>
      </c>
      <c r="H415" s="6" t="s">
        <v>18</v>
      </c>
      <c r="I415" s="2">
        <v>565</v>
      </c>
      <c r="J415" s="2">
        <v>6.05</v>
      </c>
      <c r="K415" s="4">
        <f t="shared" si="5"/>
        <v>1.73943</v>
      </c>
      <c r="L415" s="4">
        <f t="shared" si="6"/>
        <v>4.0189500000000002</v>
      </c>
      <c r="M415" s="5">
        <f t="shared" si="7"/>
        <v>1.9289100000000001</v>
      </c>
      <c r="N415" s="4">
        <f t="shared" si="8"/>
        <v>7.6872900000000008</v>
      </c>
      <c r="O415" s="4">
        <f t="shared" si="9"/>
        <v>1.637290000000001</v>
      </c>
    </row>
    <row r="416" spans="1:15" ht="22.5" customHeight="1" x14ac:dyDescent="0.25">
      <c r="A416" s="2" t="s">
        <v>26</v>
      </c>
      <c r="B416" s="2" t="s">
        <v>28</v>
      </c>
      <c r="C416" s="3">
        <v>45474</v>
      </c>
      <c r="D416" s="3">
        <v>45298</v>
      </c>
      <c r="E416" s="2">
        <v>4866</v>
      </c>
      <c r="F416" s="2">
        <v>838</v>
      </c>
      <c r="G416" s="2">
        <v>9.56</v>
      </c>
      <c r="H416" s="6" t="s">
        <v>17</v>
      </c>
      <c r="I416" s="2">
        <v>134</v>
      </c>
      <c r="J416" s="2">
        <v>0.11</v>
      </c>
      <c r="K416" s="4">
        <f t="shared" si="5"/>
        <v>1.9357800000000001</v>
      </c>
      <c r="L416" s="4">
        <f t="shared" si="6"/>
        <v>2.1897000000000002</v>
      </c>
      <c r="M416" s="5">
        <f t="shared" si="7"/>
        <v>3.8431199999999999E-2</v>
      </c>
      <c r="N416" s="4">
        <f t="shared" si="8"/>
        <v>4.1639112000000003</v>
      </c>
      <c r="O416" s="4">
        <f t="shared" si="9"/>
        <v>4.0539111999999999</v>
      </c>
    </row>
    <row r="417" spans="1:15" ht="22.5" customHeight="1" x14ac:dyDescent="0.25">
      <c r="A417" s="2" t="s">
        <v>26</v>
      </c>
      <c r="B417" s="2" t="s">
        <v>28</v>
      </c>
      <c r="C417" s="3">
        <v>45505</v>
      </c>
      <c r="D417" s="3">
        <v>45299</v>
      </c>
      <c r="E417" s="2">
        <v>7683</v>
      </c>
      <c r="F417" s="2">
        <v>557</v>
      </c>
      <c r="G417" s="2">
        <v>7.53</v>
      </c>
      <c r="H417" s="6" t="s">
        <v>21</v>
      </c>
      <c r="I417" s="2">
        <v>503</v>
      </c>
      <c r="J417" s="2">
        <v>1.59</v>
      </c>
      <c r="K417" s="4">
        <f t="shared" si="5"/>
        <v>1.28667</v>
      </c>
      <c r="L417" s="4">
        <f t="shared" si="6"/>
        <v>3.4573499999999999</v>
      </c>
      <c r="M417" s="5">
        <f t="shared" si="7"/>
        <v>0.56813849999999999</v>
      </c>
      <c r="N417" s="4">
        <f t="shared" si="8"/>
        <v>5.3121584999999998</v>
      </c>
      <c r="O417" s="4">
        <f t="shared" si="9"/>
        <v>3.7221584999999999</v>
      </c>
    </row>
    <row r="418" spans="1:15" ht="22.5" customHeight="1" x14ac:dyDescent="0.25">
      <c r="A418" s="2" t="s">
        <v>26</v>
      </c>
      <c r="B418" s="2" t="s">
        <v>28</v>
      </c>
      <c r="C418" s="3">
        <v>45536</v>
      </c>
      <c r="D418" s="3">
        <v>45300</v>
      </c>
      <c r="E418" s="2">
        <v>3742</v>
      </c>
      <c r="F418" s="2">
        <v>1088</v>
      </c>
      <c r="G418" s="2">
        <v>1.54</v>
      </c>
      <c r="H418" s="6" t="s">
        <v>20</v>
      </c>
      <c r="I418" s="2">
        <v>60</v>
      </c>
      <c r="J418" s="2">
        <v>9.5399999999999991</v>
      </c>
      <c r="K418" s="4">
        <f t="shared" si="5"/>
        <v>2.5132800000000004</v>
      </c>
      <c r="L418" s="4">
        <f t="shared" si="6"/>
        <v>1.6839000000000002</v>
      </c>
      <c r="M418" s="5">
        <f t="shared" si="7"/>
        <v>1.8479999999999998E-3</v>
      </c>
      <c r="N418" s="4">
        <f t="shared" si="8"/>
        <v>4.1990280000000002</v>
      </c>
      <c r="O418" s="4">
        <f t="shared" si="9"/>
        <v>-5.3409719999999989</v>
      </c>
    </row>
    <row r="419" spans="1:15" ht="22.5" customHeight="1" x14ac:dyDescent="0.25">
      <c r="A419" s="2" t="s">
        <v>26</v>
      </c>
      <c r="B419" s="2" t="s">
        <v>28</v>
      </c>
      <c r="C419" s="3">
        <v>45566</v>
      </c>
      <c r="D419" s="3">
        <v>45301</v>
      </c>
      <c r="E419" s="2">
        <v>8481</v>
      </c>
      <c r="F419" s="2">
        <v>614</v>
      </c>
      <c r="G419" s="2">
        <v>2.15</v>
      </c>
      <c r="H419" s="6" t="s">
        <v>21</v>
      </c>
      <c r="I419" s="2">
        <v>879</v>
      </c>
      <c r="J419" s="2">
        <v>9.48</v>
      </c>
      <c r="K419" s="4">
        <f t="shared" si="5"/>
        <v>1.4183400000000002</v>
      </c>
      <c r="L419" s="4">
        <f t="shared" si="6"/>
        <v>3.8164500000000001</v>
      </c>
      <c r="M419" s="5">
        <f t="shared" si="7"/>
        <v>0.28347749999999994</v>
      </c>
      <c r="N419" s="4">
        <f t="shared" si="8"/>
        <v>5.5182675000000003</v>
      </c>
      <c r="O419" s="4">
        <f t="shared" si="9"/>
        <v>-3.9617325000000001</v>
      </c>
    </row>
    <row r="420" spans="1:15" ht="22.5" customHeight="1" x14ac:dyDescent="0.25">
      <c r="A420" s="2" t="s">
        <v>26</v>
      </c>
      <c r="B420" s="2" t="s">
        <v>28</v>
      </c>
      <c r="C420" s="3">
        <v>45597</v>
      </c>
      <c r="D420" s="3">
        <v>45302</v>
      </c>
      <c r="E420" s="2">
        <v>9382</v>
      </c>
      <c r="F420" s="2">
        <v>968</v>
      </c>
      <c r="G420" s="2">
        <v>8.3800000000000008</v>
      </c>
      <c r="H420" s="6" t="s">
        <v>20</v>
      </c>
      <c r="I420" s="2">
        <v>597</v>
      </c>
      <c r="J420" s="2">
        <v>3.9</v>
      </c>
      <c r="K420" s="4">
        <f t="shared" si="5"/>
        <v>2.2360799999999998</v>
      </c>
      <c r="L420" s="4">
        <f t="shared" si="6"/>
        <v>4.2219000000000007</v>
      </c>
      <c r="M420" s="5">
        <f t="shared" si="7"/>
        <v>0.10005720000000001</v>
      </c>
      <c r="N420" s="4">
        <f t="shared" si="8"/>
        <v>6.5580372000000011</v>
      </c>
      <c r="O420" s="4">
        <f t="shared" si="9"/>
        <v>2.6580372000000012</v>
      </c>
    </row>
    <row r="421" spans="1:15" ht="22.5" customHeight="1" x14ac:dyDescent="0.25">
      <c r="A421" s="2" t="s">
        <v>26</v>
      </c>
      <c r="B421" s="2" t="s">
        <v>28</v>
      </c>
      <c r="C421" s="3">
        <v>45627</v>
      </c>
      <c r="D421" s="3">
        <v>45303</v>
      </c>
      <c r="E421" s="2">
        <v>8971</v>
      </c>
      <c r="F421" s="2">
        <v>578</v>
      </c>
      <c r="G421" s="2">
        <v>9.66</v>
      </c>
      <c r="H421" s="6" t="s">
        <v>17</v>
      </c>
      <c r="I421" s="2">
        <v>481</v>
      </c>
      <c r="J421" s="2">
        <v>6.02</v>
      </c>
      <c r="K421" s="4">
        <f t="shared" si="5"/>
        <v>1.33518</v>
      </c>
      <c r="L421" s="4">
        <f t="shared" si="6"/>
        <v>4.03695</v>
      </c>
      <c r="M421" s="5">
        <f t="shared" si="7"/>
        <v>0.13939380000000001</v>
      </c>
      <c r="N421" s="4">
        <f t="shared" si="8"/>
        <v>5.5115238</v>
      </c>
      <c r="O421" s="4">
        <f t="shared" si="9"/>
        <v>-0.5084761999999996</v>
      </c>
    </row>
    <row r="422" spans="1:15" ht="22.5" customHeight="1" x14ac:dyDescent="0.25">
      <c r="A422" s="2" t="s">
        <v>26</v>
      </c>
      <c r="B422" s="2" t="s">
        <v>28</v>
      </c>
      <c r="C422" s="3">
        <v>45658</v>
      </c>
      <c r="D422" s="3">
        <v>45658</v>
      </c>
      <c r="E422" s="2">
        <v>6243</v>
      </c>
      <c r="F422" s="2">
        <v>918</v>
      </c>
      <c r="G422" s="2">
        <v>2.0299999999999998</v>
      </c>
      <c r="H422" s="6" t="s">
        <v>17</v>
      </c>
      <c r="I422" s="2">
        <v>365</v>
      </c>
      <c r="J422" s="2">
        <v>6.23</v>
      </c>
      <c r="K422" s="4">
        <f t="shared" si="5"/>
        <v>2.1205799999999999</v>
      </c>
      <c r="L422" s="4">
        <f t="shared" si="6"/>
        <v>2.8093499999999998</v>
      </c>
      <c r="M422" s="5">
        <f t="shared" si="7"/>
        <v>2.2228499999999998E-2</v>
      </c>
      <c r="N422" s="4">
        <f t="shared" si="8"/>
        <v>4.9521584999999995</v>
      </c>
      <c r="O422" s="4">
        <f t="shared" si="9"/>
        <v>-1.277841500000001</v>
      </c>
    </row>
    <row r="423" spans="1:15" ht="22.5" customHeight="1" x14ac:dyDescent="0.25">
      <c r="A423" s="2" t="s">
        <v>26</v>
      </c>
      <c r="B423" s="2" t="s">
        <v>28</v>
      </c>
      <c r="C423" s="3">
        <v>45689</v>
      </c>
      <c r="D423" s="3">
        <v>45659</v>
      </c>
      <c r="E423" s="2">
        <v>4135</v>
      </c>
      <c r="F423" s="2">
        <v>433</v>
      </c>
      <c r="G423" s="2">
        <v>5.58</v>
      </c>
      <c r="H423" s="6" t="s">
        <v>17</v>
      </c>
      <c r="I423" s="2">
        <v>295</v>
      </c>
      <c r="J423" s="2">
        <v>1.82</v>
      </c>
      <c r="K423" s="4">
        <f t="shared" si="5"/>
        <v>1.00023</v>
      </c>
      <c r="L423" s="4">
        <f t="shared" si="6"/>
        <v>1.8607499999999999</v>
      </c>
      <c r="M423" s="5">
        <f t="shared" si="7"/>
        <v>4.9382999999999996E-2</v>
      </c>
      <c r="N423" s="4">
        <f t="shared" si="8"/>
        <v>2.9103629999999998</v>
      </c>
      <c r="O423" s="4">
        <f t="shared" si="9"/>
        <v>1.0903629999999997</v>
      </c>
    </row>
    <row r="424" spans="1:15" ht="22.5" customHeight="1" x14ac:dyDescent="0.25">
      <c r="A424" s="2" t="s">
        <v>26</v>
      </c>
      <c r="B424" s="2" t="s">
        <v>28</v>
      </c>
      <c r="C424" s="3">
        <v>45717</v>
      </c>
      <c r="D424" s="3">
        <v>45660</v>
      </c>
      <c r="E424" s="2">
        <v>4741</v>
      </c>
      <c r="F424" s="2">
        <v>309</v>
      </c>
      <c r="G424" s="2">
        <v>7.14</v>
      </c>
      <c r="H424" s="6" t="s">
        <v>17</v>
      </c>
      <c r="I424" s="2">
        <v>74</v>
      </c>
      <c r="J424" s="2">
        <v>3.52</v>
      </c>
      <c r="K424" s="4">
        <f t="shared" si="5"/>
        <v>0.71378999999999992</v>
      </c>
      <c r="L424" s="4">
        <f t="shared" si="6"/>
        <v>2.1334500000000003</v>
      </c>
      <c r="M424" s="5">
        <f t="shared" si="7"/>
        <v>1.5850799999999998E-2</v>
      </c>
      <c r="N424" s="4">
        <f t="shared" si="8"/>
        <v>2.8630908000000002</v>
      </c>
      <c r="O424" s="4">
        <f t="shared" si="9"/>
        <v>-0.65690919999999986</v>
      </c>
    </row>
    <row r="425" spans="1:15" ht="22.5" customHeight="1" x14ac:dyDescent="0.25">
      <c r="A425" s="2" t="s">
        <v>26</v>
      </c>
      <c r="B425" s="2" t="s">
        <v>28</v>
      </c>
      <c r="C425" s="3">
        <v>45748</v>
      </c>
      <c r="D425" s="3">
        <v>45661</v>
      </c>
      <c r="E425" s="2">
        <v>9075</v>
      </c>
      <c r="F425" s="2">
        <v>303</v>
      </c>
      <c r="G425" s="2">
        <v>9.01</v>
      </c>
      <c r="H425" s="6" t="s">
        <v>21</v>
      </c>
      <c r="I425" s="2">
        <v>301</v>
      </c>
      <c r="J425" s="2">
        <v>1.77</v>
      </c>
      <c r="K425" s="4">
        <f t="shared" si="5"/>
        <v>0.69993000000000005</v>
      </c>
      <c r="L425" s="4">
        <f t="shared" si="6"/>
        <v>4.0837500000000002</v>
      </c>
      <c r="M425" s="5">
        <f t="shared" si="7"/>
        <v>0.40680149999999998</v>
      </c>
      <c r="N425" s="4">
        <f t="shared" si="8"/>
        <v>5.1904815000000006</v>
      </c>
      <c r="O425" s="4">
        <f t="shared" si="9"/>
        <v>3.4204815000000006</v>
      </c>
    </row>
    <row r="426" spans="1:15" ht="22.5" customHeight="1" x14ac:dyDescent="0.25">
      <c r="A426" s="2" t="s">
        <v>26</v>
      </c>
      <c r="B426" s="2" t="s">
        <v>28</v>
      </c>
      <c r="C426" s="3">
        <v>45778</v>
      </c>
      <c r="D426" s="3">
        <v>45662</v>
      </c>
      <c r="E426" s="2">
        <v>4030</v>
      </c>
      <c r="F426" s="2">
        <v>752</v>
      </c>
      <c r="G426" s="2">
        <v>8.7799999999999994</v>
      </c>
      <c r="H426" s="6" t="s">
        <v>17</v>
      </c>
      <c r="I426" s="2">
        <v>578</v>
      </c>
      <c r="J426" s="2">
        <v>0.6</v>
      </c>
      <c r="K426" s="4">
        <f t="shared" si="5"/>
        <v>1.7371200000000002</v>
      </c>
      <c r="L426" s="4">
        <f t="shared" si="6"/>
        <v>1.8134999999999999</v>
      </c>
      <c r="M426" s="5">
        <f t="shared" si="7"/>
        <v>0.15224519999999997</v>
      </c>
      <c r="N426" s="4">
        <f t="shared" si="8"/>
        <v>3.7028652000000002</v>
      </c>
      <c r="O426" s="4">
        <f t="shared" si="9"/>
        <v>3.1028652000000001</v>
      </c>
    </row>
    <row r="427" spans="1:15" ht="22.5" customHeight="1" x14ac:dyDescent="0.25">
      <c r="A427" s="2" t="s">
        <v>26</v>
      </c>
      <c r="B427" s="2" t="s">
        <v>28</v>
      </c>
      <c r="C427" s="3">
        <v>45809</v>
      </c>
      <c r="D427" s="3">
        <v>45663</v>
      </c>
      <c r="E427" s="2">
        <v>4998</v>
      </c>
      <c r="F427" s="2">
        <v>829</v>
      </c>
      <c r="G427" s="2">
        <v>4.13</v>
      </c>
      <c r="H427" s="6" t="s">
        <v>21</v>
      </c>
      <c r="I427" s="2">
        <v>721</v>
      </c>
      <c r="J427" s="2">
        <v>3.16</v>
      </c>
      <c r="K427" s="4">
        <f t="shared" si="5"/>
        <v>1.91499</v>
      </c>
      <c r="L427" s="4">
        <f t="shared" si="6"/>
        <v>2.2490999999999999</v>
      </c>
      <c r="M427" s="5">
        <f t="shared" si="7"/>
        <v>0.44665949999999999</v>
      </c>
      <c r="N427" s="4">
        <f t="shared" si="8"/>
        <v>4.6107494999999998</v>
      </c>
      <c r="O427" s="4">
        <f t="shared" si="9"/>
        <v>1.4507494999999997</v>
      </c>
    </row>
    <row r="428" spans="1:15" ht="22.5" customHeight="1" x14ac:dyDescent="0.25">
      <c r="A428" s="2" t="s">
        <v>26</v>
      </c>
      <c r="B428" s="2" t="s">
        <v>28</v>
      </c>
      <c r="C428" s="3">
        <v>45839</v>
      </c>
      <c r="D428" s="3">
        <v>45664</v>
      </c>
      <c r="E428" s="2">
        <v>8120</v>
      </c>
      <c r="F428" s="2">
        <v>1182</v>
      </c>
      <c r="G428" s="2">
        <v>9.27</v>
      </c>
      <c r="H428" s="6" t="s">
        <v>21</v>
      </c>
      <c r="I428" s="2">
        <v>445</v>
      </c>
      <c r="J428" s="2">
        <v>2.65</v>
      </c>
      <c r="K428" s="4">
        <f t="shared" si="5"/>
        <v>2.7304200000000001</v>
      </c>
      <c r="L428" s="4">
        <f t="shared" si="6"/>
        <v>3.6539999999999999</v>
      </c>
      <c r="M428" s="5">
        <f t="shared" si="7"/>
        <v>0.61877249999999995</v>
      </c>
      <c r="N428" s="4">
        <f t="shared" si="8"/>
        <v>7.0031925000000008</v>
      </c>
      <c r="O428" s="4">
        <f t="shared" si="9"/>
        <v>4.3531925000000005</v>
      </c>
    </row>
    <row r="429" spans="1:15" ht="22.5" customHeight="1" x14ac:dyDescent="0.25">
      <c r="A429" s="2" t="s">
        <v>26</v>
      </c>
      <c r="B429" s="2" t="s">
        <v>28</v>
      </c>
      <c r="C429" s="3">
        <v>45870</v>
      </c>
      <c r="D429" s="3">
        <v>45665</v>
      </c>
      <c r="E429" s="2">
        <v>5756</v>
      </c>
      <c r="F429" s="2">
        <v>330</v>
      </c>
      <c r="G429" s="2">
        <v>1.34</v>
      </c>
      <c r="H429" s="6" t="s">
        <v>21</v>
      </c>
      <c r="I429" s="2">
        <v>827</v>
      </c>
      <c r="J429" s="2">
        <v>6.74</v>
      </c>
      <c r="K429" s="4">
        <f t="shared" si="5"/>
        <v>0.76230000000000009</v>
      </c>
      <c r="L429" s="4">
        <f t="shared" si="6"/>
        <v>2.5902000000000003</v>
      </c>
      <c r="M429" s="5">
        <f t="shared" si="7"/>
        <v>0.16622700000000001</v>
      </c>
      <c r="N429" s="4">
        <f t="shared" si="8"/>
        <v>3.5187270000000006</v>
      </c>
      <c r="O429" s="4">
        <f t="shared" si="9"/>
        <v>-3.2212729999999996</v>
      </c>
    </row>
    <row r="430" spans="1:15" ht="22.5" customHeight="1" x14ac:dyDescent="0.25">
      <c r="A430" s="2" t="s">
        <v>26</v>
      </c>
      <c r="B430" s="2" t="s">
        <v>28</v>
      </c>
      <c r="C430" s="3">
        <v>45901</v>
      </c>
      <c r="D430" s="3">
        <v>45666</v>
      </c>
      <c r="E430" s="2">
        <v>5536</v>
      </c>
      <c r="F430" s="2">
        <v>1079</v>
      </c>
      <c r="G430" s="2">
        <v>8.17</v>
      </c>
      <c r="H430" s="6" t="s">
        <v>20</v>
      </c>
      <c r="I430" s="2">
        <v>293</v>
      </c>
      <c r="J430" s="2">
        <v>9.1</v>
      </c>
      <c r="K430" s="4">
        <f t="shared" si="5"/>
        <v>2.4924900000000001</v>
      </c>
      <c r="L430" s="4">
        <f t="shared" si="6"/>
        <v>2.4912000000000001</v>
      </c>
      <c r="M430" s="5">
        <f t="shared" si="7"/>
        <v>4.7876200000000008E-2</v>
      </c>
      <c r="N430" s="4">
        <f t="shared" si="8"/>
        <v>5.0315662000000003</v>
      </c>
      <c r="O430" s="4">
        <f t="shared" si="9"/>
        <v>-4.0684337999999993</v>
      </c>
    </row>
    <row r="431" spans="1:15" ht="22.5" customHeight="1" x14ac:dyDescent="0.25">
      <c r="A431" s="2" t="s">
        <v>26</v>
      </c>
      <c r="B431" s="2" t="s">
        <v>28</v>
      </c>
      <c r="C431" s="3">
        <v>45931</v>
      </c>
      <c r="D431" s="3">
        <v>45667</v>
      </c>
      <c r="E431" s="2">
        <v>7867</v>
      </c>
      <c r="F431" s="2">
        <v>320</v>
      </c>
      <c r="G431" s="2">
        <v>6.09</v>
      </c>
      <c r="H431" s="6" t="s">
        <v>20</v>
      </c>
      <c r="I431" s="2">
        <v>482</v>
      </c>
      <c r="J431" s="2">
        <v>7.12</v>
      </c>
      <c r="K431" s="4">
        <f t="shared" si="5"/>
        <v>0.73920000000000008</v>
      </c>
      <c r="L431" s="4">
        <f t="shared" si="6"/>
        <v>3.5401500000000001</v>
      </c>
      <c r="M431" s="5">
        <f t="shared" si="7"/>
        <v>5.8707599999999999E-2</v>
      </c>
      <c r="N431" s="4">
        <f t="shared" si="8"/>
        <v>4.3380576</v>
      </c>
      <c r="O431" s="4">
        <f t="shared" si="9"/>
        <v>-2.7819424000000001</v>
      </c>
    </row>
    <row r="432" spans="1:15" ht="22.5" customHeight="1" x14ac:dyDescent="0.25">
      <c r="A432" s="2" t="s">
        <v>26</v>
      </c>
      <c r="B432" s="2" t="s">
        <v>28</v>
      </c>
      <c r="C432" s="3">
        <v>45962</v>
      </c>
      <c r="D432" s="3">
        <v>45668</v>
      </c>
      <c r="E432" s="2">
        <v>9929</v>
      </c>
      <c r="F432" s="2">
        <v>496</v>
      </c>
      <c r="G432" s="2">
        <v>4.9400000000000004</v>
      </c>
      <c r="H432" s="6" t="s">
        <v>21</v>
      </c>
      <c r="I432" s="2">
        <v>663</v>
      </c>
      <c r="J432" s="2">
        <v>2.87</v>
      </c>
      <c r="K432" s="4">
        <f t="shared" si="5"/>
        <v>1.1457599999999999</v>
      </c>
      <c r="L432" s="4">
        <f t="shared" si="6"/>
        <v>4.4680499999999999</v>
      </c>
      <c r="M432" s="5">
        <f t="shared" si="7"/>
        <v>0.49128300000000008</v>
      </c>
      <c r="N432" s="4">
        <f t="shared" si="8"/>
        <v>6.1050930000000001</v>
      </c>
      <c r="O432" s="4">
        <f t="shared" si="9"/>
        <v>3.235093</v>
      </c>
    </row>
    <row r="433" spans="1:15" ht="22.5" customHeight="1" x14ac:dyDescent="0.25">
      <c r="A433" s="2" t="s">
        <v>26</v>
      </c>
      <c r="B433" s="2" t="s">
        <v>28</v>
      </c>
      <c r="C433" s="3">
        <v>45992</v>
      </c>
      <c r="D433" s="3">
        <v>45669</v>
      </c>
      <c r="E433" s="2">
        <v>9103</v>
      </c>
      <c r="F433" s="2">
        <v>674</v>
      </c>
      <c r="G433" s="2">
        <v>5.82</v>
      </c>
      <c r="H433" s="6" t="s">
        <v>18</v>
      </c>
      <c r="I433" s="2">
        <v>873</v>
      </c>
      <c r="J433" s="2">
        <v>3.2</v>
      </c>
      <c r="K433" s="4">
        <f t="shared" si="5"/>
        <v>1.55694</v>
      </c>
      <c r="L433" s="4">
        <f t="shared" si="6"/>
        <v>4.0963500000000002</v>
      </c>
      <c r="M433" s="5">
        <f t="shared" si="7"/>
        <v>3.0485160000000002</v>
      </c>
      <c r="N433" s="4">
        <f t="shared" si="8"/>
        <v>8.7018060000000013</v>
      </c>
      <c r="O433" s="4">
        <f t="shared" si="9"/>
        <v>5.5018060000000011</v>
      </c>
    </row>
    <row r="434" spans="1:15" ht="22.5" customHeight="1" x14ac:dyDescent="0.25">
      <c r="A434" s="2" t="s">
        <v>29</v>
      </c>
      <c r="B434" s="2" t="s">
        <v>30</v>
      </c>
      <c r="C434" s="3">
        <v>43831</v>
      </c>
      <c r="D434" s="3">
        <v>43831</v>
      </c>
      <c r="E434" s="2">
        <v>6901</v>
      </c>
      <c r="F434" s="2">
        <v>695</v>
      </c>
      <c r="G434" s="2">
        <v>6.66</v>
      </c>
      <c r="H434" s="6" t="s">
        <v>21</v>
      </c>
      <c r="I434" s="2">
        <v>852</v>
      </c>
      <c r="J434" s="2">
        <v>7.99</v>
      </c>
      <c r="K434" s="4">
        <f t="shared" si="5"/>
        <v>1.60545</v>
      </c>
      <c r="L434" s="4">
        <f t="shared" si="6"/>
        <v>3.1054500000000003</v>
      </c>
      <c r="M434" s="5">
        <f t="shared" si="7"/>
        <v>0.85114800000000002</v>
      </c>
      <c r="N434" s="4">
        <f t="shared" si="8"/>
        <v>5.5620480000000008</v>
      </c>
      <c r="O434" s="4">
        <f t="shared" si="9"/>
        <v>-2.4279519999999994</v>
      </c>
    </row>
    <row r="435" spans="1:15" ht="22.5" customHeight="1" x14ac:dyDescent="0.25">
      <c r="A435" s="2" t="s">
        <v>29</v>
      </c>
      <c r="B435" s="2" t="s">
        <v>30</v>
      </c>
      <c r="C435" s="3">
        <v>43862</v>
      </c>
      <c r="D435" s="3">
        <v>43832</v>
      </c>
      <c r="E435" s="2">
        <v>5133</v>
      </c>
      <c r="F435" s="2">
        <v>385</v>
      </c>
      <c r="G435" s="2">
        <v>5.38</v>
      </c>
      <c r="H435" s="6" t="s">
        <v>20</v>
      </c>
      <c r="I435" s="2">
        <v>877</v>
      </c>
      <c r="J435" s="2">
        <v>9.42</v>
      </c>
      <c r="K435" s="4">
        <f t="shared" si="5"/>
        <v>0.88934999999999997</v>
      </c>
      <c r="L435" s="4">
        <f t="shared" si="6"/>
        <v>2.30985</v>
      </c>
      <c r="M435" s="5">
        <f t="shared" si="7"/>
        <v>9.4365199999999982E-2</v>
      </c>
      <c r="N435" s="4">
        <f t="shared" si="8"/>
        <v>3.2935651999999997</v>
      </c>
      <c r="O435" s="4">
        <f t="shared" si="9"/>
        <v>-6.1264348000000002</v>
      </c>
    </row>
    <row r="436" spans="1:15" ht="22.5" customHeight="1" x14ac:dyDescent="0.25">
      <c r="A436" s="2" t="s">
        <v>29</v>
      </c>
      <c r="B436" s="2" t="s">
        <v>30</v>
      </c>
      <c r="C436" s="3">
        <v>43891</v>
      </c>
      <c r="D436" s="3">
        <v>43833</v>
      </c>
      <c r="E436" s="2">
        <v>5976</v>
      </c>
      <c r="F436" s="2">
        <v>306</v>
      </c>
      <c r="G436" s="2">
        <v>7.36</v>
      </c>
      <c r="H436" s="6" t="s">
        <v>20</v>
      </c>
      <c r="I436" s="2">
        <v>248</v>
      </c>
      <c r="J436" s="2">
        <v>7.16</v>
      </c>
      <c r="K436" s="4">
        <f t="shared" si="5"/>
        <v>0.70686000000000004</v>
      </c>
      <c r="L436" s="4">
        <f t="shared" si="6"/>
        <v>2.6892000000000005</v>
      </c>
      <c r="M436" s="5">
        <f t="shared" si="7"/>
        <v>3.6505599999999999E-2</v>
      </c>
      <c r="N436" s="4">
        <f t="shared" si="8"/>
        <v>3.4325656000000002</v>
      </c>
      <c r="O436" s="4">
        <f t="shared" si="9"/>
        <v>-3.7274343999999999</v>
      </c>
    </row>
    <row r="437" spans="1:15" ht="22.5" customHeight="1" x14ac:dyDescent="0.25">
      <c r="A437" s="2" t="s">
        <v>29</v>
      </c>
      <c r="B437" s="2" t="s">
        <v>30</v>
      </c>
      <c r="C437" s="3">
        <v>43922</v>
      </c>
      <c r="D437" s="3">
        <v>43834</v>
      </c>
      <c r="E437" s="2">
        <v>8357</v>
      </c>
      <c r="F437" s="2">
        <v>957</v>
      </c>
      <c r="G437" s="2">
        <v>3.28</v>
      </c>
      <c r="H437" s="6" t="s">
        <v>21</v>
      </c>
      <c r="I437" s="2">
        <v>946</v>
      </c>
      <c r="J437" s="2">
        <v>0.75</v>
      </c>
      <c r="K437" s="4">
        <f t="shared" si="5"/>
        <v>2.2106699999999999</v>
      </c>
      <c r="L437" s="4">
        <f t="shared" si="6"/>
        <v>3.76065</v>
      </c>
      <c r="M437" s="5">
        <f t="shared" si="7"/>
        <v>0.46543200000000001</v>
      </c>
      <c r="N437" s="4">
        <f t="shared" si="8"/>
        <v>6.4367520000000003</v>
      </c>
      <c r="O437" s="4">
        <f t="shared" si="9"/>
        <v>5.6867520000000003</v>
      </c>
    </row>
    <row r="438" spans="1:15" ht="22.5" customHeight="1" x14ac:dyDescent="0.25">
      <c r="A438" s="2" t="s">
        <v>29</v>
      </c>
      <c r="B438" s="2" t="s">
        <v>30</v>
      </c>
      <c r="C438" s="3">
        <v>43952</v>
      </c>
      <c r="D438" s="3">
        <v>43835</v>
      </c>
      <c r="E438" s="2">
        <v>6784</v>
      </c>
      <c r="F438" s="2">
        <v>791</v>
      </c>
      <c r="G438" s="2">
        <v>5.29</v>
      </c>
      <c r="H438" s="6" t="s">
        <v>21</v>
      </c>
      <c r="I438" s="2">
        <v>637</v>
      </c>
      <c r="J438" s="2">
        <v>7.09</v>
      </c>
      <c r="K438" s="4">
        <f t="shared" si="5"/>
        <v>1.82721</v>
      </c>
      <c r="L438" s="4">
        <f t="shared" si="6"/>
        <v>3.0528000000000004</v>
      </c>
      <c r="M438" s="5">
        <f t="shared" si="7"/>
        <v>0.50545949999999995</v>
      </c>
      <c r="N438" s="4">
        <f t="shared" si="8"/>
        <v>5.3854695000000001</v>
      </c>
      <c r="O438" s="4">
        <f t="shared" si="9"/>
        <v>-1.7045304999999997</v>
      </c>
    </row>
    <row r="439" spans="1:15" ht="22.5" customHeight="1" x14ac:dyDescent="0.25">
      <c r="A439" s="2" t="s">
        <v>29</v>
      </c>
      <c r="B439" s="2" t="s">
        <v>30</v>
      </c>
      <c r="C439" s="3">
        <v>43983</v>
      </c>
      <c r="D439" s="3">
        <v>43836</v>
      </c>
      <c r="E439" s="2">
        <v>3121</v>
      </c>
      <c r="F439" s="2">
        <v>514</v>
      </c>
      <c r="G439" s="2">
        <v>4.33</v>
      </c>
      <c r="H439" s="6" t="s">
        <v>18</v>
      </c>
      <c r="I439" s="2">
        <v>489</v>
      </c>
      <c r="J439" s="2">
        <v>4.38</v>
      </c>
      <c r="K439" s="4">
        <f t="shared" si="5"/>
        <v>1.1873399999999998</v>
      </c>
      <c r="L439" s="4">
        <f t="shared" si="6"/>
        <v>1.40445</v>
      </c>
      <c r="M439" s="5">
        <f t="shared" si="7"/>
        <v>1.2704219999999999</v>
      </c>
      <c r="N439" s="4">
        <f t="shared" si="8"/>
        <v>3.8622119999999995</v>
      </c>
      <c r="O439" s="4">
        <f t="shared" si="9"/>
        <v>-0.51778800000000036</v>
      </c>
    </row>
    <row r="440" spans="1:15" ht="22.5" customHeight="1" x14ac:dyDescent="0.25">
      <c r="A440" s="2" t="s">
        <v>29</v>
      </c>
      <c r="B440" s="2" t="s">
        <v>30</v>
      </c>
      <c r="C440" s="3">
        <v>44013</v>
      </c>
      <c r="D440" s="3">
        <v>43837</v>
      </c>
      <c r="E440" s="2">
        <v>8126</v>
      </c>
      <c r="F440" s="2">
        <v>469</v>
      </c>
      <c r="G440" s="2">
        <v>6.42</v>
      </c>
      <c r="H440" s="6" t="s">
        <v>21</v>
      </c>
      <c r="I440" s="2">
        <v>859</v>
      </c>
      <c r="J440" s="2">
        <v>4.7699999999999996</v>
      </c>
      <c r="K440" s="4">
        <f t="shared" si="5"/>
        <v>1.0833900000000001</v>
      </c>
      <c r="L440" s="4">
        <f t="shared" si="6"/>
        <v>3.6567000000000003</v>
      </c>
      <c r="M440" s="5">
        <f t="shared" si="7"/>
        <v>0.82721699999999998</v>
      </c>
      <c r="N440" s="4">
        <f t="shared" si="8"/>
        <v>5.5673070000000004</v>
      </c>
      <c r="O440" s="4">
        <f t="shared" si="9"/>
        <v>0.79730700000000088</v>
      </c>
    </row>
    <row r="441" spans="1:15" ht="22.5" customHeight="1" x14ac:dyDescent="0.25">
      <c r="A441" s="2" t="s">
        <v>29</v>
      </c>
      <c r="B441" s="2" t="s">
        <v>30</v>
      </c>
      <c r="C441" s="3">
        <v>44044</v>
      </c>
      <c r="D441" s="3">
        <v>43838</v>
      </c>
      <c r="E441" s="2">
        <v>4012</v>
      </c>
      <c r="F441" s="2">
        <v>820</v>
      </c>
      <c r="G441" s="2">
        <v>7.74</v>
      </c>
      <c r="H441" s="6" t="s">
        <v>17</v>
      </c>
      <c r="I441" s="2">
        <v>126</v>
      </c>
      <c r="J441" s="2">
        <v>1.4</v>
      </c>
      <c r="K441" s="4">
        <f t="shared" si="5"/>
        <v>1.8942000000000001</v>
      </c>
      <c r="L441" s="4">
        <f t="shared" si="6"/>
        <v>1.8054000000000001</v>
      </c>
      <c r="M441" s="5">
        <f t="shared" si="7"/>
        <v>2.9257200000000001E-2</v>
      </c>
      <c r="N441" s="4">
        <f t="shared" si="8"/>
        <v>3.7288572000000002</v>
      </c>
      <c r="O441" s="4">
        <f t="shared" si="9"/>
        <v>2.3288572000000003</v>
      </c>
    </row>
    <row r="442" spans="1:15" ht="22.5" customHeight="1" x14ac:dyDescent="0.25">
      <c r="A442" s="2" t="s">
        <v>29</v>
      </c>
      <c r="B442" s="2" t="s">
        <v>30</v>
      </c>
      <c r="C442" s="3">
        <v>44075</v>
      </c>
      <c r="D442" s="3">
        <v>43839</v>
      </c>
      <c r="E442" s="2">
        <v>7938</v>
      </c>
      <c r="F442" s="2">
        <v>601</v>
      </c>
      <c r="G442" s="2">
        <v>9.23</v>
      </c>
      <c r="H442" s="6" t="s">
        <v>18</v>
      </c>
      <c r="I442" s="2">
        <v>767</v>
      </c>
      <c r="J442" s="2">
        <v>2.06</v>
      </c>
      <c r="K442" s="4">
        <f t="shared" si="5"/>
        <v>1.3883099999999999</v>
      </c>
      <c r="L442" s="4">
        <f t="shared" si="6"/>
        <v>3.5720999999999998</v>
      </c>
      <c r="M442" s="5">
        <f t="shared" si="7"/>
        <v>4.2476459999999996</v>
      </c>
      <c r="N442" s="4">
        <f t="shared" si="8"/>
        <v>9.2080559999999991</v>
      </c>
      <c r="O442" s="4">
        <f t="shared" si="9"/>
        <v>7.1480559999999986</v>
      </c>
    </row>
    <row r="443" spans="1:15" ht="22.5" customHeight="1" x14ac:dyDescent="0.25">
      <c r="A443" s="2" t="s">
        <v>29</v>
      </c>
      <c r="B443" s="2" t="s">
        <v>30</v>
      </c>
      <c r="C443" s="3">
        <v>44105</v>
      </c>
      <c r="D443" s="3">
        <v>43840</v>
      </c>
      <c r="E443" s="2">
        <v>3292</v>
      </c>
      <c r="F443" s="2">
        <v>928</v>
      </c>
      <c r="G443" s="2">
        <v>3.46</v>
      </c>
      <c r="H443" s="6" t="s">
        <v>18</v>
      </c>
      <c r="I443" s="2">
        <v>145</v>
      </c>
      <c r="J443" s="2">
        <v>9.9600000000000009</v>
      </c>
      <c r="K443" s="4">
        <f t="shared" si="5"/>
        <v>2.1436799999999998</v>
      </c>
      <c r="L443" s="4">
        <f t="shared" si="6"/>
        <v>1.4814000000000001</v>
      </c>
      <c r="M443" s="5">
        <f t="shared" si="7"/>
        <v>0.30101999999999995</v>
      </c>
      <c r="N443" s="4">
        <f t="shared" si="8"/>
        <v>3.9260999999999995</v>
      </c>
      <c r="O443" s="4">
        <f t="shared" si="9"/>
        <v>-6.0339000000000009</v>
      </c>
    </row>
    <row r="444" spans="1:15" ht="22.5" customHeight="1" x14ac:dyDescent="0.25">
      <c r="A444" s="2" t="s">
        <v>29</v>
      </c>
      <c r="B444" s="2" t="s">
        <v>30</v>
      </c>
      <c r="C444" s="3">
        <v>44136</v>
      </c>
      <c r="D444" s="3">
        <v>43841</v>
      </c>
      <c r="E444" s="2">
        <v>4122</v>
      </c>
      <c r="F444" s="2">
        <v>547</v>
      </c>
      <c r="G444" s="2">
        <v>7.98</v>
      </c>
      <c r="H444" s="6" t="s">
        <v>20</v>
      </c>
      <c r="I444" s="2">
        <v>364</v>
      </c>
      <c r="J444" s="2">
        <v>8.42</v>
      </c>
      <c r="K444" s="4">
        <f t="shared" si="5"/>
        <v>1.2635699999999999</v>
      </c>
      <c r="L444" s="4">
        <f t="shared" si="6"/>
        <v>1.8549</v>
      </c>
      <c r="M444" s="5">
        <f t="shared" si="7"/>
        <v>5.8094400000000004E-2</v>
      </c>
      <c r="N444" s="4">
        <f t="shared" si="8"/>
        <v>3.1765643999999997</v>
      </c>
      <c r="O444" s="4">
        <f t="shared" si="9"/>
        <v>-5.2434355999999998</v>
      </c>
    </row>
    <row r="445" spans="1:15" ht="22.5" customHeight="1" x14ac:dyDescent="0.25">
      <c r="A445" s="2" t="s">
        <v>29</v>
      </c>
      <c r="B445" s="2" t="s">
        <v>30</v>
      </c>
      <c r="C445" s="3">
        <v>44166</v>
      </c>
      <c r="D445" s="3">
        <v>43842</v>
      </c>
      <c r="E445" s="2">
        <v>8066</v>
      </c>
      <c r="F445" s="2">
        <v>843</v>
      </c>
      <c r="G445" s="2">
        <v>5.56</v>
      </c>
      <c r="H445" s="6" t="s">
        <v>21</v>
      </c>
      <c r="I445" s="2">
        <v>142</v>
      </c>
      <c r="J445" s="2">
        <v>9.69</v>
      </c>
      <c r="K445" s="4">
        <f t="shared" si="5"/>
        <v>1.9473300000000002</v>
      </c>
      <c r="L445" s="4">
        <f t="shared" si="6"/>
        <v>3.6297000000000001</v>
      </c>
      <c r="M445" s="5">
        <f t="shared" si="7"/>
        <v>0.11842799999999999</v>
      </c>
      <c r="N445" s="4">
        <f t="shared" si="8"/>
        <v>5.6954580000000004</v>
      </c>
      <c r="O445" s="4">
        <f t="shared" si="9"/>
        <v>-3.9945419999999991</v>
      </c>
    </row>
    <row r="446" spans="1:15" ht="22.5" customHeight="1" x14ac:dyDescent="0.25">
      <c r="A446" s="2" t="s">
        <v>29</v>
      </c>
      <c r="B446" s="2" t="s">
        <v>30</v>
      </c>
      <c r="C446" s="3">
        <v>44197</v>
      </c>
      <c r="D446" s="3">
        <v>44197</v>
      </c>
      <c r="E446" s="2">
        <v>8350</v>
      </c>
      <c r="F446" s="2">
        <v>882</v>
      </c>
      <c r="G446" s="2">
        <v>5.85</v>
      </c>
      <c r="H446" s="6" t="s">
        <v>21</v>
      </c>
      <c r="I446" s="2">
        <v>483</v>
      </c>
      <c r="J446" s="2">
        <v>1.41</v>
      </c>
      <c r="K446" s="4">
        <f t="shared" si="5"/>
        <v>2.03742</v>
      </c>
      <c r="L446" s="4">
        <f t="shared" si="6"/>
        <v>3.7574999999999998</v>
      </c>
      <c r="M446" s="5">
        <f t="shared" si="7"/>
        <v>0.4238325</v>
      </c>
      <c r="N446" s="4">
        <f t="shared" si="8"/>
        <v>6.218752499999999</v>
      </c>
      <c r="O446" s="4">
        <f t="shared" si="9"/>
        <v>4.8087524999999989</v>
      </c>
    </row>
    <row r="447" spans="1:15" ht="22.5" customHeight="1" x14ac:dyDescent="0.25">
      <c r="A447" s="2" t="s">
        <v>29</v>
      </c>
      <c r="B447" s="2" t="s">
        <v>30</v>
      </c>
      <c r="C447" s="3">
        <v>44228</v>
      </c>
      <c r="D447" s="3">
        <v>44198</v>
      </c>
      <c r="E447" s="2">
        <v>9462</v>
      </c>
      <c r="F447" s="2">
        <v>1124</v>
      </c>
      <c r="G447" s="2">
        <v>8.0299999999999994</v>
      </c>
      <c r="H447" s="6" t="s">
        <v>17</v>
      </c>
      <c r="I447" s="2">
        <v>947</v>
      </c>
      <c r="J447" s="2">
        <v>9.34</v>
      </c>
      <c r="K447" s="4">
        <f t="shared" si="5"/>
        <v>2.5964399999999999</v>
      </c>
      <c r="L447" s="4">
        <f t="shared" si="6"/>
        <v>4.2579000000000002</v>
      </c>
      <c r="M447" s="5">
        <f t="shared" si="7"/>
        <v>0.22813229999999998</v>
      </c>
      <c r="N447" s="4">
        <f t="shared" si="8"/>
        <v>7.0824723000000009</v>
      </c>
      <c r="O447" s="4">
        <f t="shared" si="9"/>
        <v>-2.2575276999999989</v>
      </c>
    </row>
    <row r="448" spans="1:15" ht="22.5" customHeight="1" x14ac:dyDescent="0.25">
      <c r="A448" s="2" t="s">
        <v>29</v>
      </c>
      <c r="B448" s="2" t="s">
        <v>30</v>
      </c>
      <c r="C448" s="3">
        <v>44256</v>
      </c>
      <c r="D448" s="3">
        <v>44199</v>
      </c>
      <c r="E448" s="2">
        <v>8903</v>
      </c>
      <c r="F448" s="2">
        <v>1174</v>
      </c>
      <c r="G448" s="2">
        <v>4.45</v>
      </c>
      <c r="H448" s="6" t="s">
        <v>17</v>
      </c>
      <c r="I448" s="2">
        <v>292</v>
      </c>
      <c r="J448" s="2">
        <v>8.89</v>
      </c>
      <c r="K448" s="4">
        <f t="shared" si="5"/>
        <v>2.7119400000000002</v>
      </c>
      <c r="L448" s="4">
        <f t="shared" si="6"/>
        <v>4.0063500000000003</v>
      </c>
      <c r="M448" s="5">
        <f t="shared" si="7"/>
        <v>3.8982000000000003E-2</v>
      </c>
      <c r="N448" s="4">
        <f t="shared" si="8"/>
        <v>6.7572720000000004</v>
      </c>
      <c r="O448" s="4">
        <f t="shared" si="9"/>
        <v>-2.1327280000000002</v>
      </c>
    </row>
    <row r="449" spans="1:15" ht="22.5" customHeight="1" x14ac:dyDescent="0.25">
      <c r="A449" s="2" t="s">
        <v>29</v>
      </c>
      <c r="B449" s="2" t="s">
        <v>30</v>
      </c>
      <c r="C449" s="3">
        <v>44287</v>
      </c>
      <c r="D449" s="3">
        <v>44200</v>
      </c>
      <c r="E449" s="2">
        <v>8667</v>
      </c>
      <c r="F449" s="2">
        <v>958</v>
      </c>
      <c r="G449" s="2">
        <v>2.29</v>
      </c>
      <c r="H449" s="6" t="s">
        <v>21</v>
      </c>
      <c r="I449" s="2">
        <v>222</v>
      </c>
      <c r="J449" s="2">
        <v>9.0399999999999991</v>
      </c>
      <c r="K449" s="4">
        <f t="shared" si="5"/>
        <v>2.2129799999999999</v>
      </c>
      <c r="L449" s="4">
        <f t="shared" si="6"/>
        <v>3.90015</v>
      </c>
      <c r="M449" s="5">
        <f t="shared" si="7"/>
        <v>7.6256999999999991E-2</v>
      </c>
      <c r="N449" s="4">
        <f t="shared" si="8"/>
        <v>6.189387</v>
      </c>
      <c r="O449" s="4">
        <f t="shared" si="9"/>
        <v>-2.8506129999999992</v>
      </c>
    </row>
    <row r="450" spans="1:15" ht="22.5" customHeight="1" x14ac:dyDescent="0.25">
      <c r="A450" s="2" t="s">
        <v>29</v>
      </c>
      <c r="B450" s="2" t="s">
        <v>30</v>
      </c>
      <c r="C450" s="3">
        <v>44317</v>
      </c>
      <c r="D450" s="3">
        <v>44201</v>
      </c>
      <c r="E450" s="2">
        <v>5714</v>
      </c>
      <c r="F450" s="2">
        <v>836</v>
      </c>
      <c r="G450" s="2">
        <v>5.9</v>
      </c>
      <c r="H450" s="6" t="s">
        <v>20</v>
      </c>
      <c r="I450" s="2">
        <v>547</v>
      </c>
      <c r="J450" s="2">
        <v>8.98</v>
      </c>
      <c r="K450" s="4">
        <f t="shared" si="5"/>
        <v>1.93116</v>
      </c>
      <c r="L450" s="4">
        <f t="shared" si="6"/>
        <v>2.5713000000000004</v>
      </c>
      <c r="M450" s="5">
        <f t="shared" si="7"/>
        <v>6.4546000000000006E-2</v>
      </c>
      <c r="N450" s="4">
        <f t="shared" si="8"/>
        <v>4.5670060000000001</v>
      </c>
      <c r="O450" s="4">
        <f t="shared" si="9"/>
        <v>-4.4129940000000003</v>
      </c>
    </row>
    <row r="451" spans="1:15" ht="22.5" customHeight="1" x14ac:dyDescent="0.25">
      <c r="A451" s="2" t="s">
        <v>29</v>
      </c>
      <c r="B451" s="2" t="s">
        <v>30</v>
      </c>
      <c r="C451" s="3">
        <v>44348</v>
      </c>
      <c r="D451" s="3">
        <v>44202</v>
      </c>
      <c r="E451" s="2">
        <v>6490</v>
      </c>
      <c r="F451" s="2">
        <v>327</v>
      </c>
      <c r="G451" s="2">
        <v>8.89</v>
      </c>
      <c r="H451" s="6" t="s">
        <v>21</v>
      </c>
      <c r="I451" s="2">
        <v>476</v>
      </c>
      <c r="J451" s="2">
        <v>5.82</v>
      </c>
      <c r="K451" s="4">
        <f t="shared" si="5"/>
        <v>0.75536999999999999</v>
      </c>
      <c r="L451" s="4">
        <f t="shared" si="6"/>
        <v>2.9205000000000001</v>
      </c>
      <c r="M451" s="5">
        <f t="shared" si="7"/>
        <v>0.63474600000000003</v>
      </c>
      <c r="N451" s="4">
        <f t="shared" si="8"/>
        <v>4.3106160000000004</v>
      </c>
      <c r="O451" s="4">
        <f t="shared" si="9"/>
        <v>-1.5093839999999998</v>
      </c>
    </row>
    <row r="452" spans="1:15" ht="22.5" customHeight="1" x14ac:dyDescent="0.25">
      <c r="A452" s="2" t="s">
        <v>29</v>
      </c>
      <c r="B452" s="2" t="s">
        <v>30</v>
      </c>
      <c r="C452" s="3">
        <v>44378</v>
      </c>
      <c r="D452" s="3">
        <v>44203</v>
      </c>
      <c r="E452" s="2">
        <v>5652</v>
      </c>
      <c r="F452" s="2">
        <v>214</v>
      </c>
      <c r="G452" s="2">
        <v>8.32</v>
      </c>
      <c r="H452" s="6" t="s">
        <v>18</v>
      </c>
      <c r="I452" s="2">
        <v>255</v>
      </c>
      <c r="J452" s="2">
        <v>1.35</v>
      </c>
      <c r="K452" s="4">
        <f t="shared" si="5"/>
        <v>0.49434000000000006</v>
      </c>
      <c r="L452" s="4">
        <f t="shared" si="6"/>
        <v>2.5434000000000001</v>
      </c>
      <c r="M452" s="5">
        <f t="shared" si="7"/>
        <v>1.2729600000000001</v>
      </c>
      <c r="N452" s="4">
        <f t="shared" si="8"/>
        <v>4.3107000000000006</v>
      </c>
      <c r="O452" s="4">
        <f t="shared" si="9"/>
        <v>2.9607000000000006</v>
      </c>
    </row>
    <row r="453" spans="1:15" ht="22.5" customHeight="1" x14ac:dyDescent="0.25">
      <c r="A453" s="2" t="s">
        <v>29</v>
      </c>
      <c r="B453" s="2" t="s">
        <v>30</v>
      </c>
      <c r="C453" s="3">
        <v>44409</v>
      </c>
      <c r="D453" s="3">
        <v>44204</v>
      </c>
      <c r="E453" s="2">
        <v>8502</v>
      </c>
      <c r="F453" s="2">
        <v>253</v>
      </c>
      <c r="G453" s="2">
        <v>7.25</v>
      </c>
      <c r="H453" s="6" t="s">
        <v>18</v>
      </c>
      <c r="I453" s="2">
        <v>719</v>
      </c>
      <c r="J453" s="2">
        <v>2.5299999999999998</v>
      </c>
      <c r="K453" s="4">
        <f t="shared" si="5"/>
        <v>0.58443000000000012</v>
      </c>
      <c r="L453" s="4">
        <f t="shared" si="6"/>
        <v>3.8259000000000003</v>
      </c>
      <c r="M453" s="5">
        <f t="shared" si="7"/>
        <v>3.1276499999999996</v>
      </c>
      <c r="N453" s="4">
        <f t="shared" si="8"/>
        <v>7.5379799999999992</v>
      </c>
      <c r="O453" s="4">
        <f t="shared" si="9"/>
        <v>5.0079799999999999</v>
      </c>
    </row>
    <row r="454" spans="1:15" ht="22.5" customHeight="1" x14ac:dyDescent="0.25">
      <c r="A454" s="2" t="s">
        <v>29</v>
      </c>
      <c r="B454" s="2" t="s">
        <v>30</v>
      </c>
      <c r="C454" s="3">
        <v>44440</v>
      </c>
      <c r="D454" s="3">
        <v>44205</v>
      </c>
      <c r="E454" s="2">
        <v>3419</v>
      </c>
      <c r="F454" s="2">
        <v>418</v>
      </c>
      <c r="G454" s="2">
        <v>2.77</v>
      </c>
      <c r="H454" s="6" t="s">
        <v>18</v>
      </c>
      <c r="I454" s="2">
        <v>229</v>
      </c>
      <c r="J454" s="2">
        <v>6.11</v>
      </c>
      <c r="K454" s="4">
        <f t="shared" si="5"/>
        <v>0.96557999999999999</v>
      </c>
      <c r="L454" s="4">
        <f t="shared" si="6"/>
        <v>1.5385499999999999</v>
      </c>
      <c r="M454" s="5">
        <f t="shared" si="7"/>
        <v>0.38059799999999999</v>
      </c>
      <c r="N454" s="4">
        <f t="shared" si="8"/>
        <v>2.884728</v>
      </c>
      <c r="O454" s="4">
        <f t="shared" si="9"/>
        <v>-3.2252720000000004</v>
      </c>
    </row>
    <row r="455" spans="1:15" ht="22.5" customHeight="1" x14ac:dyDescent="0.25">
      <c r="A455" s="2" t="s">
        <v>29</v>
      </c>
      <c r="B455" s="2" t="s">
        <v>30</v>
      </c>
      <c r="C455" s="3">
        <v>44470</v>
      </c>
      <c r="D455" s="3">
        <v>44206</v>
      </c>
      <c r="E455" s="2">
        <v>7852</v>
      </c>
      <c r="F455" s="2">
        <v>523</v>
      </c>
      <c r="G455" s="2">
        <v>3.94</v>
      </c>
      <c r="H455" s="6" t="s">
        <v>18</v>
      </c>
      <c r="I455" s="2">
        <v>591</v>
      </c>
      <c r="J455" s="2">
        <v>3.79</v>
      </c>
      <c r="K455" s="4">
        <f t="shared" si="5"/>
        <v>1.2081300000000001</v>
      </c>
      <c r="L455" s="4">
        <f t="shared" si="6"/>
        <v>3.5333999999999999</v>
      </c>
      <c r="M455" s="5">
        <f t="shared" si="7"/>
        <v>1.3971239999999998</v>
      </c>
      <c r="N455" s="4">
        <f t="shared" si="8"/>
        <v>6.1386539999999998</v>
      </c>
      <c r="O455" s="4">
        <f t="shared" si="9"/>
        <v>2.3486539999999998</v>
      </c>
    </row>
    <row r="456" spans="1:15" ht="22.5" customHeight="1" x14ac:dyDescent="0.25">
      <c r="A456" s="2" t="s">
        <v>29</v>
      </c>
      <c r="B456" s="2" t="s">
        <v>30</v>
      </c>
      <c r="C456" s="3">
        <v>44501</v>
      </c>
      <c r="D456" s="3">
        <v>44207</v>
      </c>
      <c r="E456" s="2">
        <v>7547</v>
      </c>
      <c r="F456" s="2">
        <v>852</v>
      </c>
      <c r="G456" s="2">
        <v>4.5999999999999996</v>
      </c>
      <c r="H456" s="6" t="s">
        <v>20</v>
      </c>
      <c r="I456" s="2">
        <v>758</v>
      </c>
      <c r="J456" s="2">
        <v>0.57999999999999996</v>
      </c>
      <c r="K456" s="4">
        <f t="shared" si="5"/>
        <v>1.9681200000000001</v>
      </c>
      <c r="L456" s="4">
        <f t="shared" si="6"/>
        <v>3.39615</v>
      </c>
      <c r="M456" s="5">
        <f t="shared" si="7"/>
        <v>6.9735999999999992E-2</v>
      </c>
      <c r="N456" s="4">
        <f t="shared" si="8"/>
        <v>5.4340060000000001</v>
      </c>
      <c r="O456" s="4">
        <f t="shared" si="9"/>
        <v>4.854006</v>
      </c>
    </row>
    <row r="457" spans="1:15" ht="22.5" customHeight="1" x14ac:dyDescent="0.25">
      <c r="A457" s="2" t="s">
        <v>29</v>
      </c>
      <c r="B457" s="2" t="s">
        <v>30</v>
      </c>
      <c r="C457" s="3">
        <v>44531</v>
      </c>
      <c r="D457" s="3">
        <v>44208</v>
      </c>
      <c r="E457" s="2">
        <v>7058</v>
      </c>
      <c r="F457" s="2">
        <v>440</v>
      </c>
      <c r="G457" s="2">
        <v>7.95</v>
      </c>
      <c r="H457" s="6" t="s">
        <v>18</v>
      </c>
      <c r="I457" s="2">
        <v>273</v>
      </c>
      <c r="J457" s="2">
        <v>5.04</v>
      </c>
      <c r="K457" s="4">
        <f t="shared" si="5"/>
        <v>1.0164</v>
      </c>
      <c r="L457" s="4">
        <f t="shared" si="6"/>
        <v>3.1760999999999999</v>
      </c>
      <c r="M457" s="5">
        <f t="shared" si="7"/>
        <v>1.3022099999999999</v>
      </c>
      <c r="N457" s="4">
        <f t="shared" si="8"/>
        <v>5.4947099999999995</v>
      </c>
      <c r="O457" s="4">
        <f t="shared" si="9"/>
        <v>0.4547099999999995</v>
      </c>
    </row>
    <row r="458" spans="1:15" ht="22.5" customHeight="1" x14ac:dyDescent="0.25">
      <c r="A458" s="2" t="s">
        <v>29</v>
      </c>
      <c r="B458" s="2" t="s">
        <v>30</v>
      </c>
      <c r="C458" s="3">
        <v>44562</v>
      </c>
      <c r="D458" s="3">
        <v>44562</v>
      </c>
      <c r="E458" s="2">
        <v>8735</v>
      </c>
      <c r="F458" s="2">
        <v>1124</v>
      </c>
      <c r="G458" s="2">
        <v>4.5599999999999996</v>
      </c>
      <c r="H458" s="6" t="s">
        <v>17</v>
      </c>
      <c r="I458" s="2">
        <v>371</v>
      </c>
      <c r="J458" s="2">
        <v>5.44</v>
      </c>
      <c r="K458" s="4">
        <f t="shared" si="5"/>
        <v>2.5964399999999999</v>
      </c>
      <c r="L458" s="4">
        <f t="shared" si="6"/>
        <v>3.9307500000000002</v>
      </c>
      <c r="M458" s="5">
        <f t="shared" si="7"/>
        <v>5.0752799999999994E-2</v>
      </c>
      <c r="N458" s="4">
        <f t="shared" si="8"/>
        <v>6.5779427999999998</v>
      </c>
      <c r="O458" s="4">
        <f t="shared" si="9"/>
        <v>1.1379427999999994</v>
      </c>
    </row>
    <row r="459" spans="1:15" ht="22.5" customHeight="1" x14ac:dyDescent="0.25">
      <c r="A459" s="2" t="s">
        <v>29</v>
      </c>
      <c r="B459" s="2" t="s">
        <v>30</v>
      </c>
      <c r="C459" s="3">
        <v>44593</v>
      </c>
      <c r="D459" s="3">
        <v>44563</v>
      </c>
      <c r="E459" s="2">
        <v>5370</v>
      </c>
      <c r="F459" s="2">
        <v>434</v>
      </c>
      <c r="G459" s="2">
        <v>7.35</v>
      </c>
      <c r="H459" s="6" t="s">
        <v>21</v>
      </c>
      <c r="I459" s="2">
        <v>602</v>
      </c>
      <c r="J459" s="2">
        <v>9.4600000000000009</v>
      </c>
      <c r="K459" s="4">
        <f t="shared" si="5"/>
        <v>1.00254</v>
      </c>
      <c r="L459" s="4">
        <f t="shared" si="6"/>
        <v>2.4165000000000001</v>
      </c>
      <c r="M459" s="5">
        <f t="shared" si="7"/>
        <v>0.66370499999999988</v>
      </c>
      <c r="N459" s="4">
        <f t="shared" si="8"/>
        <v>4.0827450000000001</v>
      </c>
      <c r="O459" s="4">
        <f t="shared" si="9"/>
        <v>-5.3772550000000008</v>
      </c>
    </row>
    <row r="460" spans="1:15" ht="22.5" customHeight="1" x14ac:dyDescent="0.25">
      <c r="A460" s="2" t="s">
        <v>29</v>
      </c>
      <c r="B460" s="2" t="s">
        <v>30</v>
      </c>
      <c r="C460" s="3">
        <v>44621</v>
      </c>
      <c r="D460" s="3">
        <v>44564</v>
      </c>
      <c r="E460" s="2">
        <v>5115</v>
      </c>
      <c r="F460" s="2">
        <v>307</v>
      </c>
      <c r="G460" s="2">
        <v>7.3</v>
      </c>
      <c r="H460" s="6" t="s">
        <v>21</v>
      </c>
      <c r="I460" s="2">
        <v>940</v>
      </c>
      <c r="J460" s="2">
        <v>4.2</v>
      </c>
      <c r="K460" s="4">
        <f t="shared" si="5"/>
        <v>0.70917000000000008</v>
      </c>
      <c r="L460" s="4">
        <f t="shared" si="6"/>
        <v>2.3017500000000002</v>
      </c>
      <c r="M460" s="5">
        <f t="shared" si="7"/>
        <v>1.0292999999999999</v>
      </c>
      <c r="N460" s="4">
        <f t="shared" si="8"/>
        <v>4.0402200000000006</v>
      </c>
      <c r="O460" s="4">
        <f t="shared" si="9"/>
        <v>-0.15977999999999959</v>
      </c>
    </row>
    <row r="461" spans="1:15" ht="22.5" customHeight="1" x14ac:dyDescent="0.25">
      <c r="A461" s="2" t="s">
        <v>29</v>
      </c>
      <c r="B461" s="2" t="s">
        <v>30</v>
      </c>
      <c r="C461" s="3">
        <v>44652</v>
      </c>
      <c r="D461" s="3">
        <v>44565</v>
      </c>
      <c r="E461" s="2">
        <v>4192</v>
      </c>
      <c r="F461" s="2">
        <v>1129</v>
      </c>
      <c r="G461" s="2">
        <v>7.72</v>
      </c>
      <c r="H461" s="6" t="s">
        <v>20</v>
      </c>
      <c r="I461" s="2">
        <v>203</v>
      </c>
      <c r="J461" s="2">
        <v>2.15</v>
      </c>
      <c r="K461" s="4">
        <f t="shared" si="5"/>
        <v>2.60799</v>
      </c>
      <c r="L461" s="4">
        <f t="shared" si="6"/>
        <v>1.8864000000000001</v>
      </c>
      <c r="M461" s="5">
        <f t="shared" si="7"/>
        <v>3.1343200000000002E-2</v>
      </c>
      <c r="N461" s="4">
        <f t="shared" si="8"/>
        <v>4.5257332000000003</v>
      </c>
      <c r="O461" s="4">
        <f t="shared" si="9"/>
        <v>2.3757332000000004</v>
      </c>
    </row>
    <row r="462" spans="1:15" ht="22.5" customHeight="1" x14ac:dyDescent="0.25">
      <c r="A462" s="2" t="s">
        <v>29</v>
      </c>
      <c r="B462" s="2" t="s">
        <v>30</v>
      </c>
      <c r="C462" s="3">
        <v>44682</v>
      </c>
      <c r="D462" s="3">
        <v>44566</v>
      </c>
      <c r="E462" s="2">
        <v>8404</v>
      </c>
      <c r="F462" s="2">
        <v>412</v>
      </c>
      <c r="G462" s="2">
        <v>4.72</v>
      </c>
      <c r="H462" s="6" t="s">
        <v>18</v>
      </c>
      <c r="I462" s="2">
        <v>266</v>
      </c>
      <c r="J462" s="2">
        <v>9.81</v>
      </c>
      <c r="K462" s="4">
        <f t="shared" si="5"/>
        <v>0.95172000000000001</v>
      </c>
      <c r="L462" s="4">
        <f t="shared" si="6"/>
        <v>3.7818000000000001</v>
      </c>
      <c r="M462" s="5">
        <f t="shared" si="7"/>
        <v>0.75331199999999987</v>
      </c>
      <c r="N462" s="4">
        <f t="shared" si="8"/>
        <v>5.4868320000000006</v>
      </c>
      <c r="O462" s="4">
        <f t="shared" si="9"/>
        <v>-4.3231679999999999</v>
      </c>
    </row>
    <row r="463" spans="1:15" ht="22.5" customHeight="1" x14ac:dyDescent="0.25">
      <c r="A463" s="2" t="s">
        <v>29</v>
      </c>
      <c r="B463" s="2" t="s">
        <v>30</v>
      </c>
      <c r="C463" s="3">
        <v>44713</v>
      </c>
      <c r="D463" s="3">
        <v>44567</v>
      </c>
      <c r="E463" s="2">
        <v>5755</v>
      </c>
      <c r="F463" s="2">
        <v>704</v>
      </c>
      <c r="G463" s="2">
        <v>6.37</v>
      </c>
      <c r="H463" s="6" t="s">
        <v>18</v>
      </c>
      <c r="I463" s="2">
        <v>689</v>
      </c>
      <c r="J463" s="2">
        <v>9.19</v>
      </c>
      <c r="K463" s="4">
        <f t="shared" si="5"/>
        <v>1.6262399999999999</v>
      </c>
      <c r="L463" s="4">
        <f t="shared" si="6"/>
        <v>2.58975</v>
      </c>
      <c r="M463" s="5">
        <f t="shared" si="7"/>
        <v>2.6333579999999999</v>
      </c>
      <c r="N463" s="4">
        <f t="shared" si="8"/>
        <v>6.8493479999999991</v>
      </c>
      <c r="O463" s="4">
        <f t="shared" si="9"/>
        <v>-2.3406520000000004</v>
      </c>
    </row>
    <row r="464" spans="1:15" ht="22.5" customHeight="1" x14ac:dyDescent="0.25">
      <c r="A464" s="2" t="s">
        <v>29</v>
      </c>
      <c r="B464" s="2" t="s">
        <v>30</v>
      </c>
      <c r="C464" s="3">
        <v>44743</v>
      </c>
      <c r="D464" s="3">
        <v>44568</v>
      </c>
      <c r="E464" s="2">
        <v>5661</v>
      </c>
      <c r="F464" s="2">
        <v>671</v>
      </c>
      <c r="G464" s="2">
        <v>2.58</v>
      </c>
      <c r="H464" s="6" t="s">
        <v>20</v>
      </c>
      <c r="I464" s="2">
        <v>783</v>
      </c>
      <c r="J464" s="2">
        <v>9.2899999999999991</v>
      </c>
      <c r="K464" s="4">
        <f t="shared" si="5"/>
        <v>1.5500099999999999</v>
      </c>
      <c r="L464" s="4">
        <f t="shared" si="6"/>
        <v>2.5474500000000004</v>
      </c>
      <c r="M464" s="5">
        <f t="shared" si="7"/>
        <v>4.0402800000000003E-2</v>
      </c>
      <c r="N464" s="4">
        <f t="shared" si="8"/>
        <v>4.1378627999999997</v>
      </c>
      <c r="O464" s="4">
        <f t="shared" si="9"/>
        <v>-5.1521371999999994</v>
      </c>
    </row>
    <row r="465" spans="1:15" ht="22.5" customHeight="1" x14ac:dyDescent="0.25">
      <c r="A465" s="2" t="s">
        <v>29</v>
      </c>
      <c r="B465" s="2" t="s">
        <v>30</v>
      </c>
      <c r="C465" s="3">
        <v>44774</v>
      </c>
      <c r="D465" s="3">
        <v>44569</v>
      </c>
      <c r="E465" s="2">
        <v>9072</v>
      </c>
      <c r="F465" s="2">
        <v>590</v>
      </c>
      <c r="G465" s="2">
        <v>6.97</v>
      </c>
      <c r="H465" s="6" t="s">
        <v>21</v>
      </c>
      <c r="I465" s="2">
        <v>371</v>
      </c>
      <c r="J465" s="2">
        <v>3.95</v>
      </c>
      <c r="K465" s="4">
        <f t="shared" si="5"/>
        <v>1.3629</v>
      </c>
      <c r="L465" s="4">
        <f t="shared" si="6"/>
        <v>4.0823999999999998</v>
      </c>
      <c r="M465" s="5">
        <f t="shared" si="7"/>
        <v>0.38788049999999996</v>
      </c>
      <c r="N465" s="4">
        <f t="shared" si="8"/>
        <v>5.8331804999999992</v>
      </c>
      <c r="O465" s="4">
        <f t="shared" si="9"/>
        <v>1.883180499999999</v>
      </c>
    </row>
    <row r="466" spans="1:15" ht="22.5" customHeight="1" x14ac:dyDescent="0.25">
      <c r="A466" s="2" t="s">
        <v>29</v>
      </c>
      <c r="B466" s="2" t="s">
        <v>30</v>
      </c>
      <c r="C466" s="3">
        <v>44805</v>
      </c>
      <c r="D466" s="3">
        <v>44570</v>
      </c>
      <c r="E466" s="2">
        <v>5274</v>
      </c>
      <c r="F466" s="2">
        <v>1118</v>
      </c>
      <c r="G466" s="2">
        <v>2.06</v>
      </c>
      <c r="H466" s="6" t="s">
        <v>17</v>
      </c>
      <c r="I466" s="2">
        <v>238</v>
      </c>
      <c r="J466" s="2">
        <v>9.48</v>
      </c>
      <c r="K466" s="4">
        <f t="shared" si="5"/>
        <v>2.5825800000000001</v>
      </c>
      <c r="L466" s="4">
        <f t="shared" si="6"/>
        <v>2.3733</v>
      </c>
      <c r="M466" s="5">
        <f t="shared" si="7"/>
        <v>1.47084E-2</v>
      </c>
      <c r="N466" s="4">
        <f t="shared" si="8"/>
        <v>4.9705884000000005</v>
      </c>
      <c r="O466" s="4">
        <f t="shared" si="9"/>
        <v>-4.5094116</v>
      </c>
    </row>
    <row r="467" spans="1:15" ht="22.5" customHeight="1" x14ac:dyDescent="0.25">
      <c r="A467" s="2" t="s">
        <v>29</v>
      </c>
      <c r="B467" s="2" t="s">
        <v>30</v>
      </c>
      <c r="C467" s="3">
        <v>44835</v>
      </c>
      <c r="D467" s="3">
        <v>44571</v>
      </c>
      <c r="E467" s="2">
        <v>6502</v>
      </c>
      <c r="F467" s="2">
        <v>449</v>
      </c>
      <c r="G467" s="2">
        <v>6.13</v>
      </c>
      <c r="H467" s="6" t="s">
        <v>21</v>
      </c>
      <c r="I467" s="2">
        <v>347</v>
      </c>
      <c r="J467" s="2">
        <v>4.0999999999999996</v>
      </c>
      <c r="K467" s="4">
        <f t="shared" si="5"/>
        <v>1.0371900000000001</v>
      </c>
      <c r="L467" s="4">
        <f t="shared" si="6"/>
        <v>2.9258999999999999</v>
      </c>
      <c r="M467" s="5">
        <f t="shared" si="7"/>
        <v>0.31906649999999998</v>
      </c>
      <c r="N467" s="4">
        <f t="shared" si="8"/>
        <v>4.2821565000000001</v>
      </c>
      <c r="O467" s="4">
        <f t="shared" si="9"/>
        <v>0.1821565000000005</v>
      </c>
    </row>
    <row r="468" spans="1:15" ht="22.5" customHeight="1" x14ac:dyDescent="0.25">
      <c r="A468" s="2" t="s">
        <v>29</v>
      </c>
      <c r="B468" s="2" t="s">
        <v>30</v>
      </c>
      <c r="C468" s="3">
        <v>44866</v>
      </c>
      <c r="D468" s="3">
        <v>44572</v>
      </c>
      <c r="E468" s="2">
        <v>3226</v>
      </c>
      <c r="F468" s="2">
        <v>724</v>
      </c>
      <c r="G468" s="2">
        <v>2.5499999999999998</v>
      </c>
      <c r="H468" s="6" t="s">
        <v>17</v>
      </c>
      <c r="I468" s="2">
        <v>851</v>
      </c>
      <c r="J468" s="2">
        <v>9.34</v>
      </c>
      <c r="K468" s="4">
        <f t="shared" si="5"/>
        <v>1.6724400000000001</v>
      </c>
      <c r="L468" s="4">
        <f t="shared" si="6"/>
        <v>1.4517</v>
      </c>
      <c r="M468" s="5">
        <f t="shared" si="7"/>
        <v>6.5101499999999993E-2</v>
      </c>
      <c r="N468" s="4">
        <f t="shared" si="8"/>
        <v>3.1892415000000001</v>
      </c>
      <c r="O468" s="4">
        <f t="shared" si="9"/>
        <v>-6.1507585000000002</v>
      </c>
    </row>
    <row r="469" spans="1:15" ht="22.5" customHeight="1" x14ac:dyDescent="0.25">
      <c r="A469" s="2" t="s">
        <v>29</v>
      </c>
      <c r="B469" s="2" t="s">
        <v>30</v>
      </c>
      <c r="C469" s="3">
        <v>44896</v>
      </c>
      <c r="D469" s="3">
        <v>44573</v>
      </c>
      <c r="E469" s="2">
        <v>3266</v>
      </c>
      <c r="F469" s="2">
        <v>795</v>
      </c>
      <c r="G469" s="2">
        <v>6.87</v>
      </c>
      <c r="H469" s="6" t="s">
        <v>18</v>
      </c>
      <c r="I469" s="2">
        <v>697</v>
      </c>
      <c r="J469" s="2">
        <v>2.27</v>
      </c>
      <c r="K469" s="4">
        <f t="shared" si="5"/>
        <v>1.8364500000000001</v>
      </c>
      <c r="L469" s="4">
        <f t="shared" si="6"/>
        <v>1.4697</v>
      </c>
      <c r="M469" s="5">
        <f t="shared" si="7"/>
        <v>2.8730340000000001</v>
      </c>
      <c r="N469" s="4">
        <f t="shared" si="8"/>
        <v>6.1791840000000002</v>
      </c>
      <c r="O469" s="4">
        <f t="shared" si="9"/>
        <v>3.9091840000000002</v>
      </c>
    </row>
    <row r="470" spans="1:15" ht="22.5" customHeight="1" x14ac:dyDescent="0.25">
      <c r="A470" s="2" t="s">
        <v>29</v>
      </c>
      <c r="B470" s="2" t="s">
        <v>30</v>
      </c>
      <c r="C470" s="3">
        <v>44927</v>
      </c>
      <c r="D470" s="3">
        <v>44927</v>
      </c>
      <c r="E470" s="2">
        <v>8723</v>
      </c>
      <c r="F470" s="2">
        <v>858</v>
      </c>
      <c r="G470" s="2">
        <v>8.4499999999999993</v>
      </c>
      <c r="H470" s="6" t="s">
        <v>17</v>
      </c>
      <c r="I470" s="2">
        <v>938</v>
      </c>
      <c r="J470" s="2">
        <v>1.24</v>
      </c>
      <c r="K470" s="4">
        <f t="shared" si="5"/>
        <v>1.9819800000000001</v>
      </c>
      <c r="L470" s="4">
        <f t="shared" si="6"/>
        <v>3.9253499999999999</v>
      </c>
      <c r="M470" s="5">
        <f t="shared" si="7"/>
        <v>0.23778299999999999</v>
      </c>
      <c r="N470" s="4">
        <f t="shared" si="8"/>
        <v>6.1451130000000003</v>
      </c>
      <c r="O470" s="4">
        <f t="shared" si="9"/>
        <v>4.9051130000000001</v>
      </c>
    </row>
    <row r="471" spans="1:15" ht="22.5" customHeight="1" x14ac:dyDescent="0.25">
      <c r="A471" s="2" t="s">
        <v>29</v>
      </c>
      <c r="B471" s="2" t="s">
        <v>30</v>
      </c>
      <c r="C471" s="3">
        <v>44958</v>
      </c>
      <c r="D471" s="3">
        <v>44928</v>
      </c>
      <c r="E471" s="2">
        <v>7591</v>
      </c>
      <c r="F471" s="2">
        <v>902</v>
      </c>
      <c r="G471" s="2">
        <v>2.3199999999999998</v>
      </c>
      <c r="H471" s="6" t="s">
        <v>21</v>
      </c>
      <c r="I471" s="2">
        <v>841</v>
      </c>
      <c r="J471" s="2">
        <v>4.72</v>
      </c>
      <c r="K471" s="4">
        <f t="shared" si="5"/>
        <v>2.0836199999999998</v>
      </c>
      <c r="L471" s="4">
        <f t="shared" si="6"/>
        <v>3.4159500000000005</v>
      </c>
      <c r="M471" s="5">
        <f t="shared" si="7"/>
        <v>0.29266799999999993</v>
      </c>
      <c r="N471" s="4">
        <f t="shared" si="8"/>
        <v>5.7922380000000002</v>
      </c>
      <c r="O471" s="4">
        <f t="shared" si="9"/>
        <v>1.0722380000000005</v>
      </c>
    </row>
    <row r="472" spans="1:15" ht="22.5" customHeight="1" x14ac:dyDescent="0.25">
      <c r="A472" s="2" t="s">
        <v>29</v>
      </c>
      <c r="B472" s="2" t="s">
        <v>30</v>
      </c>
      <c r="C472" s="3">
        <v>44986</v>
      </c>
      <c r="D472" s="3">
        <v>44929</v>
      </c>
      <c r="E472" s="2">
        <v>4602</v>
      </c>
      <c r="F472" s="2">
        <v>922</v>
      </c>
      <c r="G472" s="2">
        <v>5.29</v>
      </c>
      <c r="H472" s="6" t="s">
        <v>20</v>
      </c>
      <c r="I472" s="2">
        <v>492</v>
      </c>
      <c r="J472" s="2">
        <v>6.63</v>
      </c>
      <c r="K472" s="4">
        <f t="shared" si="5"/>
        <v>2.12982</v>
      </c>
      <c r="L472" s="4">
        <f t="shared" si="6"/>
        <v>2.0709</v>
      </c>
      <c r="M472" s="5">
        <f t="shared" si="7"/>
        <v>5.2053600000000005E-2</v>
      </c>
      <c r="N472" s="4">
        <f t="shared" si="8"/>
        <v>4.2527736000000003</v>
      </c>
      <c r="O472" s="4">
        <f t="shared" si="9"/>
        <v>-2.3772263999999996</v>
      </c>
    </row>
    <row r="473" spans="1:15" ht="22.5" customHeight="1" x14ac:dyDescent="0.25">
      <c r="A473" s="2" t="s">
        <v>29</v>
      </c>
      <c r="B473" s="2" t="s">
        <v>30</v>
      </c>
      <c r="C473" s="3">
        <v>45017</v>
      </c>
      <c r="D473" s="3">
        <v>44930</v>
      </c>
      <c r="E473" s="2">
        <v>3632</v>
      </c>
      <c r="F473" s="2">
        <v>1069</v>
      </c>
      <c r="G473" s="2">
        <v>3.09</v>
      </c>
      <c r="H473" s="6" t="s">
        <v>21</v>
      </c>
      <c r="I473" s="2">
        <v>628</v>
      </c>
      <c r="J473" s="2">
        <v>3.95</v>
      </c>
      <c r="K473" s="4">
        <f t="shared" si="5"/>
        <v>2.4693899999999998</v>
      </c>
      <c r="L473" s="4">
        <f t="shared" si="6"/>
        <v>1.6344000000000001</v>
      </c>
      <c r="M473" s="5">
        <f t="shared" si="7"/>
        <v>0.29107799999999995</v>
      </c>
      <c r="N473" s="4">
        <f t="shared" si="8"/>
        <v>4.3948679999999998</v>
      </c>
      <c r="O473" s="4">
        <f t="shared" si="9"/>
        <v>0.4448679999999996</v>
      </c>
    </row>
    <row r="474" spans="1:15" ht="22.5" customHeight="1" x14ac:dyDescent="0.25">
      <c r="A474" s="2" t="s">
        <v>29</v>
      </c>
      <c r="B474" s="2" t="s">
        <v>30</v>
      </c>
      <c r="C474" s="3">
        <v>45047</v>
      </c>
      <c r="D474" s="3">
        <v>44931</v>
      </c>
      <c r="E474" s="2">
        <v>7063</v>
      </c>
      <c r="F474" s="2">
        <v>633</v>
      </c>
      <c r="G474" s="2">
        <v>4.3</v>
      </c>
      <c r="H474" s="6" t="s">
        <v>18</v>
      </c>
      <c r="I474" s="2">
        <v>965</v>
      </c>
      <c r="J474" s="2">
        <v>8.18</v>
      </c>
      <c r="K474" s="4">
        <f t="shared" si="5"/>
        <v>1.4622299999999999</v>
      </c>
      <c r="L474" s="4">
        <f t="shared" si="6"/>
        <v>3.17835</v>
      </c>
      <c r="M474" s="5">
        <f t="shared" si="7"/>
        <v>2.4897</v>
      </c>
      <c r="N474" s="4">
        <f t="shared" si="8"/>
        <v>7.13028</v>
      </c>
      <c r="O474" s="4">
        <f t="shared" si="9"/>
        <v>-1.0497199999999998</v>
      </c>
    </row>
    <row r="475" spans="1:15" ht="22.5" customHeight="1" x14ac:dyDescent="0.25">
      <c r="A475" s="2" t="s">
        <v>29</v>
      </c>
      <c r="B475" s="2" t="s">
        <v>30</v>
      </c>
      <c r="C475" s="3">
        <v>45078</v>
      </c>
      <c r="D475" s="3">
        <v>44932</v>
      </c>
      <c r="E475" s="2">
        <v>6197</v>
      </c>
      <c r="F475" s="2">
        <v>485</v>
      </c>
      <c r="G475" s="2">
        <v>4.83</v>
      </c>
      <c r="H475" s="6" t="s">
        <v>17</v>
      </c>
      <c r="I475" s="2">
        <v>986</v>
      </c>
      <c r="J475" s="2">
        <v>1.82</v>
      </c>
      <c r="K475" s="4">
        <f t="shared" si="5"/>
        <v>1.1203500000000002</v>
      </c>
      <c r="L475" s="4">
        <f t="shared" si="6"/>
        <v>2.7886500000000001</v>
      </c>
      <c r="M475" s="5">
        <f t="shared" si="7"/>
        <v>0.14287139999999998</v>
      </c>
      <c r="N475" s="4">
        <f t="shared" si="8"/>
        <v>4.0518714000000005</v>
      </c>
      <c r="O475" s="4">
        <f t="shared" si="9"/>
        <v>2.2318714000000002</v>
      </c>
    </row>
    <row r="476" spans="1:15" ht="22.5" customHeight="1" x14ac:dyDescent="0.25">
      <c r="A476" s="2" t="s">
        <v>29</v>
      </c>
      <c r="B476" s="2" t="s">
        <v>30</v>
      </c>
      <c r="C476" s="3">
        <v>45108</v>
      </c>
      <c r="D476" s="3">
        <v>44933</v>
      </c>
      <c r="E476" s="2">
        <v>3075</v>
      </c>
      <c r="F476" s="2">
        <v>1094</v>
      </c>
      <c r="G476" s="2">
        <v>7.84</v>
      </c>
      <c r="H476" s="6" t="s">
        <v>18</v>
      </c>
      <c r="I476" s="2">
        <v>448</v>
      </c>
      <c r="J476" s="2">
        <v>8</v>
      </c>
      <c r="K476" s="4">
        <f t="shared" si="5"/>
        <v>2.5271399999999997</v>
      </c>
      <c r="L476" s="4">
        <f t="shared" si="6"/>
        <v>1.38375</v>
      </c>
      <c r="M476" s="5">
        <f t="shared" si="7"/>
        <v>2.1073919999999999</v>
      </c>
      <c r="N476" s="4">
        <f t="shared" si="8"/>
        <v>6.0182819999999992</v>
      </c>
      <c r="O476" s="4">
        <f t="shared" si="9"/>
        <v>-1.9817180000000008</v>
      </c>
    </row>
    <row r="477" spans="1:15" ht="22.5" customHeight="1" x14ac:dyDescent="0.25">
      <c r="A477" s="2" t="s">
        <v>29</v>
      </c>
      <c r="B477" s="2" t="s">
        <v>30</v>
      </c>
      <c r="C477" s="3">
        <v>45139</v>
      </c>
      <c r="D477" s="3">
        <v>44934</v>
      </c>
      <c r="E477" s="2">
        <v>8491</v>
      </c>
      <c r="F477" s="2">
        <v>487</v>
      </c>
      <c r="G477" s="2">
        <v>6.29</v>
      </c>
      <c r="H477" s="6" t="s">
        <v>21</v>
      </c>
      <c r="I477" s="2">
        <v>841</v>
      </c>
      <c r="J477" s="2">
        <v>8.07</v>
      </c>
      <c r="K477" s="4">
        <f t="shared" si="5"/>
        <v>1.12497</v>
      </c>
      <c r="L477" s="4">
        <f t="shared" si="6"/>
        <v>3.8209500000000003</v>
      </c>
      <c r="M477" s="5">
        <f t="shared" si="7"/>
        <v>0.7934834999999999</v>
      </c>
      <c r="N477" s="4">
        <f t="shared" si="8"/>
        <v>5.7394034999999999</v>
      </c>
      <c r="O477" s="4">
        <f t="shared" si="9"/>
        <v>-2.3305965000000004</v>
      </c>
    </row>
    <row r="478" spans="1:15" ht="22.5" customHeight="1" x14ac:dyDescent="0.25">
      <c r="A478" s="2" t="s">
        <v>29</v>
      </c>
      <c r="B478" s="2" t="s">
        <v>30</v>
      </c>
      <c r="C478" s="3">
        <v>45170</v>
      </c>
      <c r="D478" s="3">
        <v>44935</v>
      </c>
      <c r="E478" s="2">
        <v>8858</v>
      </c>
      <c r="F478" s="2">
        <v>1105</v>
      </c>
      <c r="G478" s="2">
        <v>7.55</v>
      </c>
      <c r="H478" s="6" t="s">
        <v>18</v>
      </c>
      <c r="I478" s="2">
        <v>156</v>
      </c>
      <c r="J478" s="2">
        <v>9.7899999999999991</v>
      </c>
      <c r="K478" s="4">
        <f t="shared" si="5"/>
        <v>2.5525500000000001</v>
      </c>
      <c r="L478" s="4">
        <f t="shared" si="6"/>
        <v>3.9861</v>
      </c>
      <c r="M478" s="5">
        <f t="shared" si="7"/>
        <v>0.70667999999999997</v>
      </c>
      <c r="N478" s="4">
        <f t="shared" si="8"/>
        <v>7.2453300000000009</v>
      </c>
      <c r="O478" s="4">
        <f t="shared" si="9"/>
        <v>-2.5446699999999982</v>
      </c>
    </row>
    <row r="479" spans="1:15" ht="22.5" customHeight="1" x14ac:dyDescent="0.25">
      <c r="A479" s="2" t="s">
        <v>29</v>
      </c>
      <c r="B479" s="2" t="s">
        <v>30</v>
      </c>
      <c r="C479" s="3">
        <v>45200</v>
      </c>
      <c r="D479" s="3">
        <v>44936</v>
      </c>
      <c r="E479" s="2">
        <v>5361</v>
      </c>
      <c r="F479" s="2">
        <v>546</v>
      </c>
      <c r="G479" s="2">
        <v>1.71</v>
      </c>
      <c r="H479" s="6" t="s">
        <v>21</v>
      </c>
      <c r="I479" s="2">
        <v>631</v>
      </c>
      <c r="J479" s="2">
        <v>2.2599999999999998</v>
      </c>
      <c r="K479" s="4">
        <f t="shared" si="5"/>
        <v>1.26126</v>
      </c>
      <c r="L479" s="4">
        <f t="shared" si="6"/>
        <v>2.4124500000000002</v>
      </c>
      <c r="M479" s="5">
        <f t="shared" si="7"/>
        <v>0.16185149999999998</v>
      </c>
      <c r="N479" s="4">
        <f t="shared" si="8"/>
        <v>3.8355615000000003</v>
      </c>
      <c r="O479" s="4">
        <f t="shared" si="9"/>
        <v>1.5755615000000005</v>
      </c>
    </row>
    <row r="480" spans="1:15" ht="22.5" customHeight="1" x14ac:dyDescent="0.25">
      <c r="A480" s="2" t="s">
        <v>29</v>
      </c>
      <c r="B480" s="2" t="s">
        <v>30</v>
      </c>
      <c r="C480" s="3">
        <v>45231</v>
      </c>
      <c r="D480" s="3">
        <v>44937</v>
      </c>
      <c r="E480" s="2">
        <v>6267</v>
      </c>
      <c r="F480" s="2">
        <v>1175</v>
      </c>
      <c r="G480" s="2">
        <v>6.83</v>
      </c>
      <c r="H480" s="6" t="s">
        <v>21</v>
      </c>
      <c r="I480" s="2">
        <v>426</v>
      </c>
      <c r="J480" s="2">
        <v>8.08</v>
      </c>
      <c r="K480" s="4">
        <f t="shared" si="5"/>
        <v>2.7142499999999998</v>
      </c>
      <c r="L480" s="4">
        <f t="shared" si="6"/>
        <v>2.8201499999999999</v>
      </c>
      <c r="M480" s="5">
        <f t="shared" si="7"/>
        <v>0.43643700000000002</v>
      </c>
      <c r="N480" s="4">
        <f t="shared" si="8"/>
        <v>5.9708369999999995</v>
      </c>
      <c r="O480" s="4">
        <f t="shared" si="9"/>
        <v>-2.1091630000000006</v>
      </c>
    </row>
    <row r="481" spans="1:15" ht="22.5" customHeight="1" x14ac:dyDescent="0.25">
      <c r="A481" s="2" t="s">
        <v>29</v>
      </c>
      <c r="B481" s="2" t="s">
        <v>30</v>
      </c>
      <c r="C481" s="3">
        <v>45261</v>
      </c>
      <c r="D481" s="3">
        <v>44938</v>
      </c>
      <c r="E481" s="2">
        <v>6465</v>
      </c>
      <c r="F481" s="2">
        <v>713</v>
      </c>
      <c r="G481" s="2">
        <v>9.91</v>
      </c>
      <c r="H481" s="6" t="s">
        <v>18</v>
      </c>
      <c r="I481" s="2">
        <v>61</v>
      </c>
      <c r="J481" s="2">
        <v>4.05</v>
      </c>
      <c r="K481" s="4">
        <f t="shared" si="5"/>
        <v>1.64703</v>
      </c>
      <c r="L481" s="4">
        <f t="shared" si="6"/>
        <v>2.9092500000000001</v>
      </c>
      <c r="M481" s="5">
        <f t="shared" si="7"/>
        <v>0.36270600000000003</v>
      </c>
      <c r="N481" s="4">
        <f t="shared" si="8"/>
        <v>4.9189860000000003</v>
      </c>
      <c r="O481" s="4">
        <f t="shared" si="9"/>
        <v>0.86898600000000048</v>
      </c>
    </row>
    <row r="482" spans="1:15" ht="22.5" customHeight="1" x14ac:dyDescent="0.25">
      <c r="A482" s="2" t="s">
        <v>29</v>
      </c>
      <c r="B482" s="2" t="s">
        <v>30</v>
      </c>
      <c r="C482" s="3">
        <v>45292</v>
      </c>
      <c r="D482" s="3">
        <v>45292</v>
      </c>
      <c r="E482" s="2">
        <v>3716</v>
      </c>
      <c r="F482" s="2">
        <v>1004</v>
      </c>
      <c r="G482" s="2">
        <v>9.5</v>
      </c>
      <c r="H482" s="6" t="s">
        <v>17</v>
      </c>
      <c r="I482" s="2">
        <v>302</v>
      </c>
      <c r="J482" s="2">
        <v>2.57</v>
      </c>
      <c r="K482" s="4">
        <f t="shared" si="5"/>
        <v>2.3192400000000002</v>
      </c>
      <c r="L482" s="4">
        <f t="shared" si="6"/>
        <v>1.6722000000000001</v>
      </c>
      <c r="M482" s="5">
        <f t="shared" si="7"/>
        <v>8.6070000000000008E-2</v>
      </c>
      <c r="N482" s="4">
        <f t="shared" si="8"/>
        <v>4.0775100000000002</v>
      </c>
      <c r="O482" s="4">
        <f t="shared" si="9"/>
        <v>1.5075100000000003</v>
      </c>
    </row>
    <row r="483" spans="1:15" ht="22.5" customHeight="1" x14ac:dyDescent="0.25">
      <c r="A483" s="2" t="s">
        <v>29</v>
      </c>
      <c r="B483" s="2" t="s">
        <v>30</v>
      </c>
      <c r="C483" s="3">
        <v>45323</v>
      </c>
      <c r="D483" s="3">
        <v>45293</v>
      </c>
      <c r="E483" s="2">
        <v>3091</v>
      </c>
      <c r="F483" s="2">
        <v>1060</v>
      </c>
      <c r="G483" s="2">
        <v>8.19</v>
      </c>
      <c r="H483" s="6" t="s">
        <v>21</v>
      </c>
      <c r="I483" s="2">
        <v>418</v>
      </c>
      <c r="J483" s="2">
        <v>9.07</v>
      </c>
      <c r="K483" s="4">
        <f t="shared" si="5"/>
        <v>2.4485999999999999</v>
      </c>
      <c r="L483" s="4">
        <f t="shared" si="6"/>
        <v>1.3909500000000001</v>
      </c>
      <c r="M483" s="5">
        <f t="shared" si="7"/>
        <v>0.51351299999999989</v>
      </c>
      <c r="N483" s="4">
        <f t="shared" si="8"/>
        <v>4.3530629999999997</v>
      </c>
      <c r="O483" s="4">
        <f t="shared" si="9"/>
        <v>-4.7169370000000006</v>
      </c>
    </row>
    <row r="484" spans="1:15" ht="22.5" customHeight="1" x14ac:dyDescent="0.25">
      <c r="A484" s="2" t="s">
        <v>29</v>
      </c>
      <c r="B484" s="2" t="s">
        <v>30</v>
      </c>
      <c r="C484" s="3">
        <v>45352</v>
      </c>
      <c r="D484" s="3">
        <v>45294</v>
      </c>
      <c r="E484" s="2">
        <v>6752</v>
      </c>
      <c r="F484" s="2">
        <v>1136</v>
      </c>
      <c r="G484" s="2">
        <v>2.25</v>
      </c>
      <c r="H484" s="6" t="s">
        <v>20</v>
      </c>
      <c r="I484" s="2">
        <v>887</v>
      </c>
      <c r="J484" s="2">
        <v>7.79</v>
      </c>
      <c r="K484" s="4">
        <f t="shared" si="5"/>
        <v>2.6241599999999998</v>
      </c>
      <c r="L484" s="4">
        <f t="shared" si="6"/>
        <v>3.0384000000000002</v>
      </c>
      <c r="M484" s="5">
        <f t="shared" si="7"/>
        <v>3.9915000000000006E-2</v>
      </c>
      <c r="N484" s="4">
        <f t="shared" si="8"/>
        <v>5.7024749999999997</v>
      </c>
      <c r="O484" s="4">
        <f t="shared" si="9"/>
        <v>-2.0875250000000003</v>
      </c>
    </row>
    <row r="485" spans="1:15" ht="22.5" customHeight="1" x14ac:dyDescent="0.25">
      <c r="A485" s="2" t="s">
        <v>29</v>
      </c>
      <c r="B485" s="2" t="s">
        <v>30</v>
      </c>
      <c r="C485" s="3">
        <v>45383</v>
      </c>
      <c r="D485" s="3">
        <v>45295</v>
      </c>
      <c r="E485" s="2">
        <v>7086</v>
      </c>
      <c r="F485" s="2">
        <v>1135</v>
      </c>
      <c r="G485" s="2">
        <v>4.4800000000000004</v>
      </c>
      <c r="H485" s="6" t="s">
        <v>17</v>
      </c>
      <c r="I485" s="2">
        <v>216</v>
      </c>
      <c r="J485" s="2">
        <v>9.8699999999999992</v>
      </c>
      <c r="K485" s="4">
        <f t="shared" si="5"/>
        <v>2.6218499999999998</v>
      </c>
      <c r="L485" s="4">
        <f t="shared" si="6"/>
        <v>3.1887000000000003</v>
      </c>
      <c r="M485" s="5">
        <f t="shared" si="7"/>
        <v>2.9030400000000001E-2</v>
      </c>
      <c r="N485" s="4">
        <f t="shared" si="8"/>
        <v>5.8395804</v>
      </c>
      <c r="O485" s="4">
        <f t="shared" si="9"/>
        <v>-4.0304195999999992</v>
      </c>
    </row>
    <row r="486" spans="1:15" ht="22.5" customHeight="1" x14ac:dyDescent="0.25">
      <c r="A486" s="2" t="s">
        <v>29</v>
      </c>
      <c r="B486" s="2" t="s">
        <v>30</v>
      </c>
      <c r="C486" s="3">
        <v>45413</v>
      </c>
      <c r="D486" s="3">
        <v>45296</v>
      </c>
      <c r="E486" s="2">
        <v>3122</v>
      </c>
      <c r="F486" s="2">
        <v>730</v>
      </c>
      <c r="G486" s="2">
        <v>6.41</v>
      </c>
      <c r="H486" s="6" t="s">
        <v>20</v>
      </c>
      <c r="I486" s="2">
        <v>953</v>
      </c>
      <c r="J486" s="2">
        <v>6.58</v>
      </c>
      <c r="K486" s="4">
        <f t="shared" si="5"/>
        <v>1.6862999999999999</v>
      </c>
      <c r="L486" s="4">
        <f t="shared" si="6"/>
        <v>1.4049</v>
      </c>
      <c r="M486" s="5">
        <f t="shared" si="7"/>
        <v>0.12217459999999999</v>
      </c>
      <c r="N486" s="4">
        <f t="shared" si="8"/>
        <v>3.2133745999999999</v>
      </c>
      <c r="O486" s="4">
        <f t="shared" si="9"/>
        <v>-3.3666254000000002</v>
      </c>
    </row>
    <row r="487" spans="1:15" ht="22.5" customHeight="1" x14ac:dyDescent="0.25">
      <c r="A487" s="2" t="s">
        <v>29</v>
      </c>
      <c r="B487" s="2" t="s">
        <v>30</v>
      </c>
      <c r="C487" s="3">
        <v>45444</v>
      </c>
      <c r="D487" s="3">
        <v>45297</v>
      </c>
      <c r="E487" s="2">
        <v>4607</v>
      </c>
      <c r="F487" s="2">
        <v>925</v>
      </c>
      <c r="G487" s="2">
        <v>3.03</v>
      </c>
      <c r="H487" s="6" t="s">
        <v>21</v>
      </c>
      <c r="I487" s="2">
        <v>518</v>
      </c>
      <c r="J487" s="2">
        <v>7.21</v>
      </c>
      <c r="K487" s="4">
        <f t="shared" si="5"/>
        <v>2.1367500000000001</v>
      </c>
      <c r="L487" s="4">
        <f t="shared" si="6"/>
        <v>2.07315</v>
      </c>
      <c r="M487" s="5">
        <f t="shared" si="7"/>
        <v>0.23543099999999997</v>
      </c>
      <c r="N487" s="4">
        <f t="shared" si="8"/>
        <v>4.4453310000000004</v>
      </c>
      <c r="O487" s="4">
        <f t="shared" si="9"/>
        <v>-2.7646689999999996</v>
      </c>
    </row>
    <row r="488" spans="1:15" ht="22.5" customHeight="1" x14ac:dyDescent="0.25">
      <c r="A488" s="2" t="s">
        <v>29</v>
      </c>
      <c r="B488" s="2" t="s">
        <v>30</v>
      </c>
      <c r="C488" s="3">
        <v>45474</v>
      </c>
      <c r="D488" s="3">
        <v>45298</v>
      </c>
      <c r="E488" s="2">
        <v>3594</v>
      </c>
      <c r="F488" s="2">
        <v>506</v>
      </c>
      <c r="G488" s="2">
        <v>7.76</v>
      </c>
      <c r="H488" s="6" t="s">
        <v>17</v>
      </c>
      <c r="I488" s="2">
        <v>939</v>
      </c>
      <c r="J488" s="2">
        <v>0.23</v>
      </c>
      <c r="K488" s="4">
        <f t="shared" si="5"/>
        <v>1.1688600000000002</v>
      </c>
      <c r="L488" s="4">
        <f t="shared" si="6"/>
        <v>1.6173</v>
      </c>
      <c r="M488" s="5">
        <f t="shared" si="7"/>
        <v>0.21859919999999997</v>
      </c>
      <c r="N488" s="4">
        <f t="shared" si="8"/>
        <v>3.0047592000000001</v>
      </c>
      <c r="O488" s="4">
        <f t="shared" si="9"/>
        <v>2.7747592000000001</v>
      </c>
    </row>
    <row r="489" spans="1:15" ht="22.5" customHeight="1" x14ac:dyDescent="0.25">
      <c r="A489" s="2" t="s">
        <v>29</v>
      </c>
      <c r="B489" s="2" t="s">
        <v>30</v>
      </c>
      <c r="C489" s="3">
        <v>45505</v>
      </c>
      <c r="D489" s="3">
        <v>45299</v>
      </c>
      <c r="E489" s="2">
        <v>9087</v>
      </c>
      <c r="F489" s="2">
        <v>1037</v>
      </c>
      <c r="G489" s="2">
        <v>1.37</v>
      </c>
      <c r="H489" s="6" t="s">
        <v>21</v>
      </c>
      <c r="I489" s="2">
        <v>307</v>
      </c>
      <c r="J489" s="2">
        <v>1.85</v>
      </c>
      <c r="K489" s="4">
        <f t="shared" si="5"/>
        <v>2.3954700000000004</v>
      </c>
      <c r="L489" s="4">
        <f t="shared" si="6"/>
        <v>4.0891500000000001</v>
      </c>
      <c r="M489" s="5">
        <f t="shared" si="7"/>
        <v>6.3088500000000006E-2</v>
      </c>
      <c r="N489" s="4">
        <f t="shared" si="8"/>
        <v>6.5477085000000006</v>
      </c>
      <c r="O489" s="4">
        <f t="shared" si="9"/>
        <v>4.697708500000001</v>
      </c>
    </row>
    <row r="490" spans="1:15" ht="22.5" customHeight="1" x14ac:dyDescent="0.25">
      <c r="A490" s="2" t="s">
        <v>29</v>
      </c>
      <c r="B490" s="2" t="s">
        <v>30</v>
      </c>
      <c r="C490" s="3">
        <v>45536</v>
      </c>
      <c r="D490" s="3">
        <v>45300</v>
      </c>
      <c r="E490" s="2">
        <v>5094</v>
      </c>
      <c r="F490" s="2">
        <v>1002</v>
      </c>
      <c r="G490" s="2">
        <v>7.77</v>
      </c>
      <c r="H490" s="6" t="s">
        <v>21</v>
      </c>
      <c r="I490" s="2">
        <v>95</v>
      </c>
      <c r="J490" s="2">
        <v>4.71</v>
      </c>
      <c r="K490" s="4">
        <f t="shared" si="5"/>
        <v>2.3146199999999997</v>
      </c>
      <c r="L490" s="4">
        <f t="shared" si="6"/>
        <v>2.2923</v>
      </c>
      <c r="M490" s="5">
        <f t="shared" si="7"/>
        <v>0.1107225</v>
      </c>
      <c r="N490" s="4">
        <f t="shared" si="8"/>
        <v>4.7176424999999993</v>
      </c>
      <c r="O490" s="4">
        <f t="shared" si="9"/>
        <v>7.6424999999993304E-3</v>
      </c>
    </row>
    <row r="491" spans="1:15" ht="22.5" customHeight="1" x14ac:dyDescent="0.25">
      <c r="A491" s="2" t="s">
        <v>29</v>
      </c>
      <c r="B491" s="2" t="s">
        <v>30</v>
      </c>
      <c r="C491" s="3">
        <v>45566</v>
      </c>
      <c r="D491" s="3">
        <v>45301</v>
      </c>
      <c r="E491" s="2">
        <v>6368</v>
      </c>
      <c r="F491" s="2">
        <v>1146</v>
      </c>
      <c r="G491" s="2">
        <v>7.36</v>
      </c>
      <c r="H491" s="6" t="s">
        <v>20</v>
      </c>
      <c r="I491" s="2">
        <v>935</v>
      </c>
      <c r="J491" s="2">
        <v>0.2</v>
      </c>
      <c r="K491" s="4">
        <f t="shared" si="5"/>
        <v>2.6472600000000002</v>
      </c>
      <c r="L491" s="4">
        <f t="shared" si="6"/>
        <v>2.8655999999999997</v>
      </c>
      <c r="M491" s="5">
        <f t="shared" si="7"/>
        <v>0.137632</v>
      </c>
      <c r="N491" s="4">
        <f t="shared" si="8"/>
        <v>5.6504919999999998</v>
      </c>
      <c r="O491" s="4">
        <f t="shared" si="9"/>
        <v>5.4504919999999997</v>
      </c>
    </row>
    <row r="492" spans="1:15" ht="22.5" customHeight="1" x14ac:dyDescent="0.25">
      <c r="A492" s="2" t="s">
        <v>29</v>
      </c>
      <c r="B492" s="2" t="s">
        <v>30</v>
      </c>
      <c r="C492" s="3">
        <v>45597</v>
      </c>
      <c r="D492" s="3">
        <v>45302</v>
      </c>
      <c r="E492" s="2">
        <v>3656</v>
      </c>
      <c r="F492" s="2">
        <v>563</v>
      </c>
      <c r="G492" s="2">
        <v>3.76</v>
      </c>
      <c r="H492" s="6" t="s">
        <v>17</v>
      </c>
      <c r="I492" s="2">
        <v>270</v>
      </c>
      <c r="J492" s="2">
        <v>0.85</v>
      </c>
      <c r="K492" s="4">
        <f t="shared" si="5"/>
        <v>1.30053</v>
      </c>
      <c r="L492" s="4">
        <f t="shared" si="6"/>
        <v>1.6452</v>
      </c>
      <c r="M492" s="5">
        <f t="shared" si="7"/>
        <v>3.0455999999999997E-2</v>
      </c>
      <c r="N492" s="4">
        <f t="shared" si="8"/>
        <v>2.9761860000000002</v>
      </c>
      <c r="O492" s="4">
        <f t="shared" si="9"/>
        <v>2.1261860000000001</v>
      </c>
    </row>
    <row r="493" spans="1:15" ht="22.5" customHeight="1" x14ac:dyDescent="0.25">
      <c r="A493" s="2" t="s">
        <v>29</v>
      </c>
      <c r="B493" s="2" t="s">
        <v>30</v>
      </c>
      <c r="C493" s="3">
        <v>45627</v>
      </c>
      <c r="D493" s="3">
        <v>45303</v>
      </c>
      <c r="E493" s="2">
        <v>9169</v>
      </c>
      <c r="F493" s="2">
        <v>891</v>
      </c>
      <c r="G493" s="2">
        <v>1.91</v>
      </c>
      <c r="H493" s="6" t="s">
        <v>18</v>
      </c>
      <c r="I493" s="2">
        <v>948</v>
      </c>
      <c r="J493" s="2">
        <v>4.8499999999999996</v>
      </c>
      <c r="K493" s="4">
        <f t="shared" si="5"/>
        <v>2.0582099999999999</v>
      </c>
      <c r="L493" s="4">
        <f t="shared" si="6"/>
        <v>4.1260500000000002</v>
      </c>
      <c r="M493" s="5">
        <f t="shared" si="7"/>
        <v>1.0864079999999998</v>
      </c>
      <c r="N493" s="4">
        <f t="shared" si="8"/>
        <v>7.2706679999999997</v>
      </c>
      <c r="O493" s="4">
        <f t="shared" si="9"/>
        <v>2.420668</v>
      </c>
    </row>
    <row r="494" spans="1:15" ht="22.5" customHeight="1" x14ac:dyDescent="0.25">
      <c r="A494" s="2" t="s">
        <v>29</v>
      </c>
      <c r="B494" s="2" t="s">
        <v>30</v>
      </c>
      <c r="C494" s="3">
        <v>45658</v>
      </c>
      <c r="D494" s="3">
        <v>45658</v>
      </c>
      <c r="E494" s="2">
        <v>8253</v>
      </c>
      <c r="F494" s="2">
        <v>400</v>
      </c>
      <c r="G494" s="2">
        <v>1.41</v>
      </c>
      <c r="H494" s="6" t="s">
        <v>20</v>
      </c>
      <c r="I494" s="2">
        <v>168</v>
      </c>
      <c r="J494" s="2">
        <v>0.31</v>
      </c>
      <c r="K494" s="4">
        <f t="shared" si="5"/>
        <v>0.92400000000000004</v>
      </c>
      <c r="L494" s="4">
        <f t="shared" si="6"/>
        <v>3.7138499999999999</v>
      </c>
      <c r="M494" s="5">
        <f t="shared" si="7"/>
        <v>4.7375999999999998E-3</v>
      </c>
      <c r="N494" s="4">
        <f t="shared" si="8"/>
        <v>4.6425876000000006</v>
      </c>
      <c r="O494" s="4">
        <f t="shared" si="9"/>
        <v>4.332587600000001</v>
      </c>
    </row>
    <row r="495" spans="1:15" ht="22.5" customHeight="1" x14ac:dyDescent="0.25">
      <c r="A495" s="2" t="s">
        <v>29</v>
      </c>
      <c r="B495" s="2" t="s">
        <v>30</v>
      </c>
      <c r="C495" s="3">
        <v>45689</v>
      </c>
      <c r="D495" s="3">
        <v>45659</v>
      </c>
      <c r="E495" s="2">
        <v>5556</v>
      </c>
      <c r="F495" s="2">
        <v>341</v>
      </c>
      <c r="G495" s="2">
        <v>5.27</v>
      </c>
      <c r="H495" s="6" t="s">
        <v>17</v>
      </c>
      <c r="I495" s="2">
        <v>657</v>
      </c>
      <c r="J495" s="2">
        <v>0.44</v>
      </c>
      <c r="K495" s="4">
        <f t="shared" si="5"/>
        <v>0.78771000000000002</v>
      </c>
      <c r="L495" s="4">
        <f t="shared" si="6"/>
        <v>2.5002000000000004</v>
      </c>
      <c r="M495" s="5">
        <f t="shared" si="7"/>
        <v>0.10387169999999998</v>
      </c>
      <c r="N495" s="4">
        <f t="shared" si="8"/>
        <v>3.3917817000000006</v>
      </c>
      <c r="O495" s="4">
        <f t="shared" si="9"/>
        <v>2.9517817000000006</v>
      </c>
    </row>
    <row r="496" spans="1:15" ht="22.5" customHeight="1" x14ac:dyDescent="0.25">
      <c r="A496" s="2" t="s">
        <v>29</v>
      </c>
      <c r="B496" s="2" t="s">
        <v>30</v>
      </c>
      <c r="C496" s="3">
        <v>45717</v>
      </c>
      <c r="D496" s="3">
        <v>45660</v>
      </c>
      <c r="E496" s="2">
        <v>5318</v>
      </c>
      <c r="F496" s="2">
        <v>661</v>
      </c>
      <c r="G496" s="2">
        <v>1.82</v>
      </c>
      <c r="H496" s="6" t="s">
        <v>17</v>
      </c>
      <c r="I496" s="2">
        <v>875</v>
      </c>
      <c r="J496" s="2">
        <v>6.32</v>
      </c>
      <c r="K496" s="4">
        <f t="shared" si="5"/>
        <v>1.52691</v>
      </c>
      <c r="L496" s="4">
        <f t="shared" si="6"/>
        <v>2.3931</v>
      </c>
      <c r="M496" s="5">
        <f t="shared" si="7"/>
        <v>4.7774999999999998E-2</v>
      </c>
      <c r="N496" s="4">
        <f t="shared" si="8"/>
        <v>3.9677850000000001</v>
      </c>
      <c r="O496" s="4">
        <f t="shared" si="9"/>
        <v>-2.3522150000000002</v>
      </c>
    </row>
    <row r="497" spans="1:15" ht="22.5" customHeight="1" x14ac:dyDescent="0.25">
      <c r="A497" s="2" t="s">
        <v>29</v>
      </c>
      <c r="B497" s="2" t="s">
        <v>30</v>
      </c>
      <c r="C497" s="3">
        <v>45748</v>
      </c>
      <c r="D497" s="3">
        <v>45661</v>
      </c>
      <c r="E497" s="2">
        <v>8185</v>
      </c>
      <c r="F497" s="2">
        <v>727</v>
      </c>
      <c r="G497" s="2">
        <v>8.73</v>
      </c>
      <c r="H497" s="6" t="s">
        <v>21</v>
      </c>
      <c r="I497" s="2">
        <v>431</v>
      </c>
      <c r="J497" s="2">
        <v>6.81</v>
      </c>
      <c r="K497" s="4">
        <f t="shared" si="5"/>
        <v>1.67937</v>
      </c>
      <c r="L497" s="4">
        <f t="shared" si="6"/>
        <v>3.6832500000000001</v>
      </c>
      <c r="M497" s="5">
        <f t="shared" si="7"/>
        <v>0.56439450000000002</v>
      </c>
      <c r="N497" s="4">
        <f t="shared" si="8"/>
        <v>5.9270144999999994</v>
      </c>
      <c r="O497" s="4">
        <f t="shared" si="9"/>
        <v>-0.8829855000000002</v>
      </c>
    </row>
    <row r="498" spans="1:15" ht="22.5" customHeight="1" x14ac:dyDescent="0.25">
      <c r="A498" s="2" t="s">
        <v>29</v>
      </c>
      <c r="B498" s="2" t="s">
        <v>30</v>
      </c>
      <c r="C498" s="3">
        <v>45778</v>
      </c>
      <c r="D498" s="3">
        <v>45662</v>
      </c>
      <c r="E498" s="2">
        <v>8932</v>
      </c>
      <c r="F498" s="2">
        <v>905</v>
      </c>
      <c r="G498" s="2">
        <v>3.07</v>
      </c>
      <c r="H498" s="6" t="s">
        <v>17</v>
      </c>
      <c r="I498" s="2">
        <v>480</v>
      </c>
      <c r="J498" s="2">
        <v>5.88</v>
      </c>
      <c r="K498" s="4">
        <f t="shared" si="5"/>
        <v>2.0905500000000004</v>
      </c>
      <c r="L498" s="4">
        <f t="shared" si="6"/>
        <v>4.0194000000000001</v>
      </c>
      <c r="M498" s="5">
        <f t="shared" si="7"/>
        <v>4.420799999999999E-2</v>
      </c>
      <c r="N498" s="4">
        <f t="shared" si="8"/>
        <v>6.1541580000000007</v>
      </c>
      <c r="O498" s="4">
        <f t="shared" si="9"/>
        <v>0.27415800000000079</v>
      </c>
    </row>
    <row r="499" spans="1:15" ht="22.5" customHeight="1" x14ac:dyDescent="0.25">
      <c r="A499" s="2" t="s">
        <v>29</v>
      </c>
      <c r="B499" s="2" t="s">
        <v>30</v>
      </c>
      <c r="C499" s="3">
        <v>45809</v>
      </c>
      <c r="D499" s="3">
        <v>45663</v>
      </c>
      <c r="E499" s="2">
        <v>7966</v>
      </c>
      <c r="F499" s="2">
        <v>622</v>
      </c>
      <c r="G499" s="2">
        <v>2.87</v>
      </c>
      <c r="H499" s="6" t="s">
        <v>20</v>
      </c>
      <c r="I499" s="2">
        <v>244</v>
      </c>
      <c r="J499" s="2">
        <v>7.78</v>
      </c>
      <c r="K499" s="4">
        <f t="shared" si="5"/>
        <v>1.43682</v>
      </c>
      <c r="L499" s="4">
        <f t="shared" si="6"/>
        <v>3.5847000000000002</v>
      </c>
      <c r="M499" s="5">
        <f t="shared" si="7"/>
        <v>1.40056E-2</v>
      </c>
      <c r="N499" s="4">
        <f t="shared" si="8"/>
        <v>5.0355256000000006</v>
      </c>
      <c r="O499" s="4">
        <f t="shared" si="9"/>
        <v>-2.7444743999999996</v>
      </c>
    </row>
    <row r="500" spans="1:15" ht="22.5" customHeight="1" x14ac:dyDescent="0.25">
      <c r="A500" s="2" t="s">
        <v>29</v>
      </c>
      <c r="B500" s="2" t="s">
        <v>30</v>
      </c>
      <c r="C500" s="3">
        <v>45839</v>
      </c>
      <c r="D500" s="3">
        <v>45664</v>
      </c>
      <c r="E500" s="2">
        <v>4174</v>
      </c>
      <c r="F500" s="2">
        <v>211</v>
      </c>
      <c r="G500" s="2">
        <v>2.7</v>
      </c>
      <c r="H500" s="6" t="s">
        <v>20</v>
      </c>
      <c r="I500" s="2">
        <v>260</v>
      </c>
      <c r="J500" s="2">
        <v>2.09</v>
      </c>
      <c r="K500" s="4">
        <f t="shared" si="5"/>
        <v>0.48741000000000001</v>
      </c>
      <c r="L500" s="4">
        <f t="shared" si="6"/>
        <v>1.8782999999999999</v>
      </c>
      <c r="M500" s="5">
        <f t="shared" si="7"/>
        <v>1.404E-2</v>
      </c>
      <c r="N500" s="4">
        <f t="shared" si="8"/>
        <v>2.37975</v>
      </c>
      <c r="O500" s="4">
        <f t="shared" si="9"/>
        <v>0.28975000000000017</v>
      </c>
    </row>
    <row r="501" spans="1:15" ht="22.5" customHeight="1" x14ac:dyDescent="0.25">
      <c r="A501" s="2" t="s">
        <v>29</v>
      </c>
      <c r="B501" s="2" t="s">
        <v>30</v>
      </c>
      <c r="C501" s="3">
        <v>45870</v>
      </c>
      <c r="D501" s="3">
        <v>45665</v>
      </c>
      <c r="E501" s="2">
        <v>9803</v>
      </c>
      <c r="F501" s="2">
        <v>1102</v>
      </c>
      <c r="G501" s="2">
        <v>8.2200000000000006</v>
      </c>
      <c r="H501" s="6" t="s">
        <v>21</v>
      </c>
      <c r="I501" s="2">
        <v>464</v>
      </c>
      <c r="J501" s="2">
        <v>7.88</v>
      </c>
      <c r="K501" s="4">
        <f t="shared" si="5"/>
        <v>2.54562</v>
      </c>
      <c r="L501" s="4">
        <f t="shared" si="6"/>
        <v>4.4113500000000005</v>
      </c>
      <c r="M501" s="5">
        <f t="shared" si="7"/>
        <v>0.57211199999999995</v>
      </c>
      <c r="N501" s="4">
        <f t="shared" si="8"/>
        <v>7.5290819999999998</v>
      </c>
      <c r="O501" s="4">
        <f t="shared" si="9"/>
        <v>-0.35091800000000006</v>
      </c>
    </row>
    <row r="502" spans="1:15" ht="22.5" customHeight="1" x14ac:dyDescent="0.25">
      <c r="A502" s="2" t="s">
        <v>29</v>
      </c>
      <c r="B502" s="2" t="s">
        <v>30</v>
      </c>
      <c r="C502" s="3">
        <v>45901</v>
      </c>
      <c r="D502" s="3">
        <v>45666</v>
      </c>
      <c r="E502" s="2">
        <v>4947</v>
      </c>
      <c r="F502" s="2">
        <v>1090</v>
      </c>
      <c r="G502" s="2">
        <v>5.0199999999999996</v>
      </c>
      <c r="H502" s="6" t="s">
        <v>18</v>
      </c>
      <c r="I502" s="2">
        <v>357</v>
      </c>
      <c r="J502" s="2">
        <v>0.45</v>
      </c>
      <c r="K502" s="4">
        <f t="shared" si="5"/>
        <v>2.5179</v>
      </c>
      <c r="L502" s="4">
        <f t="shared" si="6"/>
        <v>2.2261500000000001</v>
      </c>
      <c r="M502" s="5">
        <f t="shared" si="7"/>
        <v>1.0752839999999999</v>
      </c>
      <c r="N502" s="4">
        <f t="shared" si="8"/>
        <v>5.8193339999999996</v>
      </c>
      <c r="O502" s="4">
        <f t="shared" si="9"/>
        <v>5.3693339999999994</v>
      </c>
    </row>
    <row r="503" spans="1:15" ht="22.5" customHeight="1" x14ac:dyDescent="0.25">
      <c r="A503" s="2" t="s">
        <v>29</v>
      </c>
      <c r="B503" s="2" t="s">
        <v>30</v>
      </c>
      <c r="C503" s="3">
        <v>45931</v>
      </c>
      <c r="D503" s="3">
        <v>45667</v>
      </c>
      <c r="E503" s="2">
        <v>7102</v>
      </c>
      <c r="F503" s="2">
        <v>1012</v>
      </c>
      <c r="G503" s="2">
        <v>9.49</v>
      </c>
      <c r="H503" s="6" t="s">
        <v>21</v>
      </c>
      <c r="I503" s="2">
        <v>472</v>
      </c>
      <c r="J503" s="2">
        <v>7.37</v>
      </c>
      <c r="K503" s="4">
        <f t="shared" si="5"/>
        <v>2.3377200000000005</v>
      </c>
      <c r="L503" s="4">
        <f t="shared" si="6"/>
        <v>3.1959</v>
      </c>
      <c r="M503" s="5">
        <f t="shared" si="7"/>
        <v>0.67189199999999993</v>
      </c>
      <c r="N503" s="4">
        <f t="shared" si="8"/>
        <v>6.2055120000000006</v>
      </c>
      <c r="O503" s="4">
        <f t="shared" si="9"/>
        <v>-1.1644879999999995</v>
      </c>
    </row>
    <row r="504" spans="1:15" ht="22.5" customHeight="1" x14ac:dyDescent="0.25">
      <c r="A504" s="2" t="s">
        <v>29</v>
      </c>
      <c r="B504" s="2" t="s">
        <v>30</v>
      </c>
      <c r="C504" s="3">
        <v>45962</v>
      </c>
      <c r="D504" s="3">
        <v>45668</v>
      </c>
      <c r="E504" s="2">
        <v>3942</v>
      </c>
      <c r="F504" s="2">
        <v>1032</v>
      </c>
      <c r="G504" s="2">
        <v>2.39</v>
      </c>
      <c r="H504" s="6" t="s">
        <v>21</v>
      </c>
      <c r="I504" s="2">
        <v>955</v>
      </c>
      <c r="J504" s="2">
        <v>4.84</v>
      </c>
      <c r="K504" s="4">
        <f t="shared" si="5"/>
        <v>2.3839200000000003</v>
      </c>
      <c r="L504" s="4">
        <f t="shared" si="6"/>
        <v>1.7739</v>
      </c>
      <c r="M504" s="5">
        <f t="shared" si="7"/>
        <v>0.34236749999999999</v>
      </c>
      <c r="N504" s="4">
        <f t="shared" si="8"/>
        <v>4.5001875</v>
      </c>
      <c r="O504" s="4">
        <f t="shared" si="9"/>
        <v>-0.33981249999999985</v>
      </c>
    </row>
    <row r="505" spans="1:15" ht="22.5" customHeight="1" x14ac:dyDescent="0.25">
      <c r="A505" s="2" t="s">
        <v>29</v>
      </c>
      <c r="B505" s="2" t="s">
        <v>30</v>
      </c>
      <c r="C505" s="3">
        <v>45992</v>
      </c>
      <c r="D505" s="3">
        <v>45669</v>
      </c>
      <c r="E505" s="2">
        <v>8067</v>
      </c>
      <c r="F505" s="2">
        <v>888</v>
      </c>
      <c r="G505" s="2">
        <v>4.1500000000000004</v>
      </c>
      <c r="H505" s="6" t="s">
        <v>20</v>
      </c>
      <c r="I505" s="2">
        <v>418</v>
      </c>
      <c r="J505" s="2">
        <v>1.31</v>
      </c>
      <c r="K505" s="4">
        <f t="shared" si="5"/>
        <v>2.0512800000000002</v>
      </c>
      <c r="L505" s="4">
        <f t="shared" si="6"/>
        <v>3.63015</v>
      </c>
      <c r="M505" s="5">
        <f t="shared" si="7"/>
        <v>3.4694000000000003E-2</v>
      </c>
      <c r="N505" s="4">
        <f t="shared" si="8"/>
        <v>5.7161240000000006</v>
      </c>
      <c r="O505" s="4">
        <f t="shared" si="9"/>
        <v>4.4061240000000002</v>
      </c>
    </row>
    <row r="506" spans="1:15" ht="22.5" customHeight="1" x14ac:dyDescent="0.25">
      <c r="A506" s="2" t="s">
        <v>29</v>
      </c>
      <c r="B506" s="2" t="s">
        <v>31</v>
      </c>
      <c r="C506" s="3">
        <v>43831</v>
      </c>
      <c r="D506" s="3">
        <v>43831</v>
      </c>
      <c r="E506" s="2">
        <v>3662</v>
      </c>
      <c r="F506" s="2">
        <v>385</v>
      </c>
      <c r="G506" s="2">
        <v>4.25</v>
      </c>
      <c r="H506" s="6" t="s">
        <v>18</v>
      </c>
      <c r="I506" s="2">
        <v>580</v>
      </c>
      <c r="J506" s="2">
        <v>0.35</v>
      </c>
      <c r="K506" s="4">
        <f t="shared" si="5"/>
        <v>0.88934999999999997</v>
      </c>
      <c r="L506" s="4">
        <f t="shared" si="6"/>
        <v>1.6479000000000001</v>
      </c>
      <c r="M506" s="5">
        <f t="shared" si="7"/>
        <v>1.4790000000000001</v>
      </c>
      <c r="N506" s="4">
        <f t="shared" si="8"/>
        <v>4.0162500000000003</v>
      </c>
      <c r="O506" s="4">
        <f t="shared" si="9"/>
        <v>3.6662500000000002</v>
      </c>
    </row>
    <row r="507" spans="1:15" ht="22.5" customHeight="1" x14ac:dyDescent="0.25">
      <c r="A507" s="2" t="s">
        <v>29</v>
      </c>
      <c r="B507" s="2" t="s">
        <v>31</v>
      </c>
      <c r="C507" s="3">
        <v>43862</v>
      </c>
      <c r="D507" s="3">
        <v>43832</v>
      </c>
      <c r="E507" s="2">
        <v>9591</v>
      </c>
      <c r="F507" s="2">
        <v>301</v>
      </c>
      <c r="G507" s="2">
        <v>9.15</v>
      </c>
      <c r="H507" s="6" t="s">
        <v>21</v>
      </c>
      <c r="I507" s="2">
        <v>368</v>
      </c>
      <c r="J507" s="2">
        <v>5.96</v>
      </c>
      <c r="K507" s="4">
        <f t="shared" si="5"/>
        <v>0.69531000000000009</v>
      </c>
      <c r="L507" s="4">
        <f t="shared" si="6"/>
        <v>4.31595</v>
      </c>
      <c r="M507" s="5">
        <f t="shared" si="7"/>
        <v>0.50507999999999997</v>
      </c>
      <c r="N507" s="4">
        <f t="shared" si="8"/>
        <v>5.5163399999999996</v>
      </c>
      <c r="O507" s="4">
        <f t="shared" si="9"/>
        <v>-0.44366000000000039</v>
      </c>
    </row>
    <row r="508" spans="1:15" ht="22.5" customHeight="1" x14ac:dyDescent="0.25">
      <c r="A508" s="2" t="s">
        <v>29</v>
      </c>
      <c r="B508" s="2" t="s">
        <v>31</v>
      </c>
      <c r="C508" s="3">
        <v>43891</v>
      </c>
      <c r="D508" s="3">
        <v>43833</v>
      </c>
      <c r="E508" s="2">
        <v>7390</v>
      </c>
      <c r="F508" s="2">
        <v>1073</v>
      </c>
      <c r="G508" s="2">
        <v>4.24</v>
      </c>
      <c r="H508" s="6" t="s">
        <v>17</v>
      </c>
      <c r="I508" s="2">
        <v>331</v>
      </c>
      <c r="J508" s="2">
        <v>1.66</v>
      </c>
      <c r="K508" s="4">
        <f t="shared" si="5"/>
        <v>2.4786299999999999</v>
      </c>
      <c r="L508" s="4">
        <f t="shared" si="6"/>
        <v>3.3254999999999999</v>
      </c>
      <c r="M508" s="5">
        <f t="shared" si="7"/>
        <v>4.21032E-2</v>
      </c>
      <c r="N508" s="4">
        <f t="shared" si="8"/>
        <v>5.8462331999999995</v>
      </c>
      <c r="O508" s="4">
        <f t="shared" si="9"/>
        <v>4.1862331999999993</v>
      </c>
    </row>
    <row r="509" spans="1:15" ht="22.5" customHeight="1" x14ac:dyDescent="0.25">
      <c r="A509" s="2" t="s">
        <v>29</v>
      </c>
      <c r="B509" s="2" t="s">
        <v>31</v>
      </c>
      <c r="C509" s="3">
        <v>43922</v>
      </c>
      <c r="D509" s="3">
        <v>43834</v>
      </c>
      <c r="E509" s="2">
        <v>8669</v>
      </c>
      <c r="F509" s="2">
        <v>924</v>
      </c>
      <c r="G509" s="2">
        <v>3.59</v>
      </c>
      <c r="H509" s="6" t="s">
        <v>17</v>
      </c>
      <c r="I509" s="2">
        <v>416</v>
      </c>
      <c r="J509" s="2">
        <v>4.96</v>
      </c>
      <c r="K509" s="4">
        <f t="shared" si="5"/>
        <v>2.1344400000000001</v>
      </c>
      <c r="L509" s="4">
        <f t="shared" si="6"/>
        <v>3.9010500000000001</v>
      </c>
      <c r="M509" s="5">
        <f t="shared" si="7"/>
        <v>4.4803199999999994E-2</v>
      </c>
      <c r="N509" s="4">
        <f t="shared" si="8"/>
        <v>6.0802931999999998</v>
      </c>
      <c r="O509" s="4">
        <f t="shared" si="9"/>
        <v>1.1202931999999999</v>
      </c>
    </row>
    <row r="510" spans="1:15" ht="22.5" customHeight="1" x14ac:dyDescent="0.25">
      <c r="A510" s="2" t="s">
        <v>29</v>
      </c>
      <c r="B510" s="2" t="s">
        <v>31</v>
      </c>
      <c r="C510" s="3">
        <v>43952</v>
      </c>
      <c r="D510" s="3">
        <v>43835</v>
      </c>
      <c r="E510" s="2">
        <v>7414</v>
      </c>
      <c r="F510" s="2">
        <v>1198</v>
      </c>
      <c r="G510" s="2">
        <v>7.25</v>
      </c>
      <c r="H510" s="6" t="s">
        <v>21</v>
      </c>
      <c r="I510" s="2">
        <v>933</v>
      </c>
      <c r="J510" s="2">
        <v>3.28</v>
      </c>
      <c r="K510" s="4">
        <f t="shared" si="5"/>
        <v>2.7673800000000002</v>
      </c>
      <c r="L510" s="4">
        <f t="shared" si="6"/>
        <v>3.3363</v>
      </c>
      <c r="M510" s="5">
        <f t="shared" si="7"/>
        <v>1.0146374999999999</v>
      </c>
      <c r="N510" s="4">
        <f t="shared" si="8"/>
        <v>7.1183175000000007</v>
      </c>
      <c r="O510" s="4">
        <f t="shared" si="9"/>
        <v>3.8383175000000009</v>
      </c>
    </row>
    <row r="511" spans="1:15" ht="22.5" customHeight="1" x14ac:dyDescent="0.25">
      <c r="A511" s="2" t="s">
        <v>29</v>
      </c>
      <c r="B511" s="2" t="s">
        <v>31</v>
      </c>
      <c r="C511" s="3">
        <v>43983</v>
      </c>
      <c r="D511" s="3">
        <v>43836</v>
      </c>
      <c r="E511" s="2">
        <v>7497</v>
      </c>
      <c r="F511" s="2">
        <v>910</v>
      </c>
      <c r="G511" s="2">
        <v>8.25</v>
      </c>
      <c r="H511" s="6" t="s">
        <v>17</v>
      </c>
      <c r="I511" s="2">
        <v>319</v>
      </c>
      <c r="J511" s="2">
        <v>6.24</v>
      </c>
      <c r="K511" s="4">
        <f t="shared" si="5"/>
        <v>2.1021000000000001</v>
      </c>
      <c r="L511" s="4">
        <f t="shared" si="6"/>
        <v>3.37365</v>
      </c>
      <c r="M511" s="5">
        <f t="shared" si="7"/>
        <v>7.8952499999999995E-2</v>
      </c>
      <c r="N511" s="4">
        <f t="shared" si="8"/>
        <v>5.5547024999999994</v>
      </c>
      <c r="O511" s="4">
        <f t="shared" si="9"/>
        <v>-0.68529750000000078</v>
      </c>
    </row>
    <row r="512" spans="1:15" ht="22.5" customHeight="1" x14ac:dyDescent="0.25">
      <c r="A512" s="2" t="s">
        <v>29</v>
      </c>
      <c r="B512" s="2" t="s">
        <v>31</v>
      </c>
      <c r="C512" s="3">
        <v>44013</v>
      </c>
      <c r="D512" s="3">
        <v>43837</v>
      </c>
      <c r="E512" s="2">
        <v>6202</v>
      </c>
      <c r="F512" s="2">
        <v>1090</v>
      </c>
      <c r="G512" s="2">
        <v>8.58</v>
      </c>
      <c r="H512" s="6" t="s">
        <v>20</v>
      </c>
      <c r="I512" s="2">
        <v>779</v>
      </c>
      <c r="J512" s="2">
        <v>2.92</v>
      </c>
      <c r="K512" s="4">
        <f t="shared" ref="K512:K577" si="10">F512*2.31/1000</f>
        <v>2.5179</v>
      </c>
      <c r="L512" s="4">
        <f t="shared" ref="L512:L577" si="11">E512*0.45/1000</f>
        <v>2.7909000000000002</v>
      </c>
      <c r="M512" s="5">
        <f t="shared" ref="M512:M577" si="12">IF(H512="Truck",0.15*I512*G512/1000,
   IF(H512="Ship",0.02*I512*G512/1000,
     IF(H512="Rail",0.03*I512*G512/1000,
       IF(H512="Air",0.6*I512*G512/1000,
         ""))))</f>
        <v>0.1336764</v>
      </c>
      <c r="N512" s="4">
        <f t="shared" ref="N512:N577" si="13">K512+L512+M512</f>
        <v>5.4424763999999994</v>
      </c>
      <c r="O512" s="4">
        <f t="shared" ref="O512:O577" si="14">N512-J512</f>
        <v>2.5224763999999995</v>
      </c>
    </row>
    <row r="513" spans="1:15" ht="22.5" customHeight="1" x14ac:dyDescent="0.25">
      <c r="A513" s="2" t="s">
        <v>29</v>
      </c>
      <c r="B513" s="2" t="s">
        <v>31</v>
      </c>
      <c r="C513" s="3">
        <v>44044</v>
      </c>
      <c r="D513" s="3">
        <v>43838</v>
      </c>
      <c r="E513" s="2">
        <v>4896</v>
      </c>
      <c r="F513" s="2">
        <v>780</v>
      </c>
      <c r="G513" s="2">
        <v>9.65</v>
      </c>
      <c r="H513" s="6" t="s">
        <v>20</v>
      </c>
      <c r="I513" s="2">
        <v>997</v>
      </c>
      <c r="J513" s="2">
        <v>4.0199999999999996</v>
      </c>
      <c r="K513" s="4">
        <f t="shared" si="10"/>
        <v>1.8017999999999998</v>
      </c>
      <c r="L513" s="4">
        <f t="shared" si="11"/>
        <v>2.2032000000000003</v>
      </c>
      <c r="M513" s="5">
        <f t="shared" si="12"/>
        <v>0.19242100000000001</v>
      </c>
      <c r="N513" s="4">
        <f t="shared" si="13"/>
        <v>4.1974210000000003</v>
      </c>
      <c r="O513" s="4">
        <f t="shared" si="14"/>
        <v>0.17742100000000072</v>
      </c>
    </row>
    <row r="514" spans="1:15" ht="22.5" customHeight="1" x14ac:dyDescent="0.25">
      <c r="A514" s="2" t="s">
        <v>29</v>
      </c>
      <c r="B514" s="2" t="s">
        <v>31</v>
      </c>
      <c r="C514" s="3">
        <v>44075</v>
      </c>
      <c r="D514" s="3">
        <v>43839</v>
      </c>
      <c r="E514" s="2">
        <v>4111</v>
      </c>
      <c r="F514" s="2">
        <v>384</v>
      </c>
      <c r="G514" s="2">
        <v>4.24</v>
      </c>
      <c r="H514" s="6" t="s">
        <v>20</v>
      </c>
      <c r="I514" s="2">
        <v>877</v>
      </c>
      <c r="J514" s="2">
        <v>9.0299999999999994</v>
      </c>
      <c r="K514" s="4">
        <f t="shared" si="10"/>
        <v>0.88703999999999994</v>
      </c>
      <c r="L514" s="4">
        <f t="shared" si="11"/>
        <v>1.84995</v>
      </c>
      <c r="M514" s="5">
        <f t="shared" si="12"/>
        <v>7.4369600000000008E-2</v>
      </c>
      <c r="N514" s="4">
        <f t="shared" si="13"/>
        <v>2.8113595999999998</v>
      </c>
      <c r="O514" s="4">
        <f t="shared" si="14"/>
        <v>-6.2186404</v>
      </c>
    </row>
    <row r="515" spans="1:15" ht="22.5" customHeight="1" x14ac:dyDescent="0.25">
      <c r="A515" s="2" t="s">
        <v>29</v>
      </c>
      <c r="B515" s="2" t="s">
        <v>31</v>
      </c>
      <c r="C515" s="3">
        <v>44105</v>
      </c>
      <c r="D515" s="3">
        <v>43840</v>
      </c>
      <c r="E515" s="2">
        <v>9182</v>
      </c>
      <c r="F515" s="2">
        <v>317</v>
      </c>
      <c r="G515" s="2">
        <v>5.83</v>
      </c>
      <c r="H515" s="6" t="s">
        <v>20</v>
      </c>
      <c r="I515" s="2">
        <v>435</v>
      </c>
      <c r="J515" s="2">
        <v>3.15</v>
      </c>
      <c r="K515" s="4">
        <f t="shared" si="10"/>
        <v>0.73226999999999998</v>
      </c>
      <c r="L515" s="4">
        <f t="shared" si="11"/>
        <v>4.1319000000000008</v>
      </c>
      <c r="M515" s="5">
        <f t="shared" si="12"/>
        <v>5.0721000000000002E-2</v>
      </c>
      <c r="N515" s="4">
        <f t="shared" si="13"/>
        <v>4.9148910000000008</v>
      </c>
      <c r="O515" s="4">
        <f t="shared" si="14"/>
        <v>1.7648910000000009</v>
      </c>
    </row>
    <row r="516" spans="1:15" ht="22.5" customHeight="1" x14ac:dyDescent="0.25">
      <c r="A516" s="2" t="s">
        <v>29</v>
      </c>
      <c r="B516" s="2" t="s">
        <v>31</v>
      </c>
      <c r="C516" s="3">
        <v>44136</v>
      </c>
      <c r="D516" s="3">
        <v>43841</v>
      </c>
      <c r="E516" s="2">
        <v>4944</v>
      </c>
      <c r="F516" s="2">
        <v>958</v>
      </c>
      <c r="G516" s="2">
        <v>3.45</v>
      </c>
      <c r="H516" s="6" t="s">
        <v>17</v>
      </c>
      <c r="I516" s="2">
        <v>527</v>
      </c>
      <c r="J516" s="2">
        <v>7.58</v>
      </c>
      <c r="K516" s="4">
        <f t="shared" si="10"/>
        <v>2.2129799999999999</v>
      </c>
      <c r="L516" s="4">
        <f t="shared" si="11"/>
        <v>2.2248000000000001</v>
      </c>
      <c r="M516" s="5">
        <f t="shared" si="12"/>
        <v>5.4544500000000003E-2</v>
      </c>
      <c r="N516" s="4">
        <f t="shared" si="13"/>
        <v>4.4923245000000005</v>
      </c>
      <c r="O516" s="4">
        <f t="shared" si="14"/>
        <v>-3.0876754999999996</v>
      </c>
    </row>
    <row r="517" spans="1:15" ht="22.5" customHeight="1" x14ac:dyDescent="0.25">
      <c r="A517" s="2" t="s">
        <v>29</v>
      </c>
      <c r="B517" s="2" t="s">
        <v>31</v>
      </c>
      <c r="C517" s="3">
        <v>44166</v>
      </c>
      <c r="D517" s="3">
        <v>43842</v>
      </c>
      <c r="E517" s="2">
        <v>6671</v>
      </c>
      <c r="F517" s="2">
        <v>1009</v>
      </c>
      <c r="G517" s="2">
        <v>2.36</v>
      </c>
      <c r="H517" s="6" t="s">
        <v>18</v>
      </c>
      <c r="I517" s="2">
        <v>982</v>
      </c>
      <c r="J517" s="2">
        <v>1.03</v>
      </c>
      <c r="K517" s="4">
        <f t="shared" si="10"/>
        <v>2.3307899999999999</v>
      </c>
      <c r="L517" s="4">
        <f t="shared" si="11"/>
        <v>3.0019500000000003</v>
      </c>
      <c r="M517" s="5">
        <f t="shared" si="12"/>
        <v>1.3905119999999997</v>
      </c>
      <c r="N517" s="4">
        <f t="shared" si="13"/>
        <v>6.7232520000000005</v>
      </c>
      <c r="O517" s="4">
        <f t="shared" si="14"/>
        <v>5.6932520000000002</v>
      </c>
    </row>
    <row r="518" spans="1:15" ht="22.5" customHeight="1" x14ac:dyDescent="0.25">
      <c r="A518" s="2" t="s">
        <v>29</v>
      </c>
      <c r="B518" s="2" t="s">
        <v>31</v>
      </c>
      <c r="C518" s="3">
        <v>44197</v>
      </c>
      <c r="D518" s="3">
        <v>44197</v>
      </c>
      <c r="E518" s="2">
        <v>5923</v>
      </c>
      <c r="F518" s="2">
        <v>1186</v>
      </c>
      <c r="G518" s="2">
        <v>8.7899999999999991</v>
      </c>
      <c r="H518" s="6" t="s">
        <v>17</v>
      </c>
      <c r="I518" s="2">
        <v>374</v>
      </c>
      <c r="J518" s="2">
        <v>3.74</v>
      </c>
      <c r="K518" s="4">
        <f t="shared" si="10"/>
        <v>2.7396599999999998</v>
      </c>
      <c r="L518" s="4">
        <f t="shared" si="11"/>
        <v>2.6653500000000001</v>
      </c>
      <c r="M518" s="5">
        <f t="shared" si="12"/>
        <v>9.862379999999997E-2</v>
      </c>
      <c r="N518" s="4">
        <f t="shared" si="13"/>
        <v>5.5036338000000002</v>
      </c>
      <c r="O518" s="4">
        <f t="shared" si="14"/>
        <v>1.7636338</v>
      </c>
    </row>
    <row r="519" spans="1:15" ht="22.5" customHeight="1" x14ac:dyDescent="0.25">
      <c r="A519" s="2" t="s">
        <v>29</v>
      </c>
      <c r="B519" s="2" t="s">
        <v>31</v>
      </c>
      <c r="C519" s="3">
        <v>44228</v>
      </c>
      <c r="D519" s="3">
        <v>44198</v>
      </c>
      <c r="E519" s="2">
        <v>9914</v>
      </c>
      <c r="F519" s="2">
        <v>975</v>
      </c>
      <c r="G519" s="2">
        <v>3.1</v>
      </c>
      <c r="H519" s="6" t="s">
        <v>21</v>
      </c>
      <c r="I519" s="2">
        <v>462</v>
      </c>
      <c r="J519" s="2">
        <v>9.51</v>
      </c>
      <c r="K519" s="4">
        <f t="shared" si="10"/>
        <v>2.2522500000000001</v>
      </c>
      <c r="L519" s="4">
        <f t="shared" si="11"/>
        <v>4.4613000000000005</v>
      </c>
      <c r="M519" s="5">
        <f t="shared" si="12"/>
        <v>0.21482999999999999</v>
      </c>
      <c r="N519" s="4">
        <f t="shared" si="13"/>
        <v>6.9283800000000006</v>
      </c>
      <c r="O519" s="4">
        <f t="shared" si="14"/>
        <v>-2.5816199999999991</v>
      </c>
    </row>
    <row r="520" spans="1:15" ht="22.5" customHeight="1" x14ac:dyDescent="0.25">
      <c r="A520" s="2" t="s">
        <v>29</v>
      </c>
      <c r="B520" s="2" t="s">
        <v>31</v>
      </c>
      <c r="C520" s="3">
        <v>44256</v>
      </c>
      <c r="D520" s="3">
        <v>44199</v>
      </c>
      <c r="E520" s="2">
        <v>5095</v>
      </c>
      <c r="F520" s="2">
        <v>618</v>
      </c>
      <c r="G520" s="2">
        <v>4.1900000000000004</v>
      </c>
      <c r="H520" s="6" t="s">
        <v>20</v>
      </c>
      <c r="I520" s="2">
        <v>694</v>
      </c>
      <c r="J520" s="2">
        <v>7.45</v>
      </c>
      <c r="K520" s="4">
        <f t="shared" si="10"/>
        <v>1.4275799999999998</v>
      </c>
      <c r="L520" s="4">
        <f t="shared" si="11"/>
        <v>2.2927499999999998</v>
      </c>
      <c r="M520" s="5">
        <f t="shared" si="12"/>
        <v>5.8157200000000013E-2</v>
      </c>
      <c r="N520" s="4">
        <f t="shared" si="13"/>
        <v>3.7784871999999998</v>
      </c>
      <c r="O520" s="4">
        <f t="shared" si="14"/>
        <v>-3.6715128000000004</v>
      </c>
    </row>
    <row r="521" spans="1:15" ht="22.5" customHeight="1" x14ac:dyDescent="0.25">
      <c r="A521" s="2" t="s">
        <v>29</v>
      </c>
      <c r="B521" s="2" t="s">
        <v>31</v>
      </c>
      <c r="C521" s="3">
        <v>44287</v>
      </c>
      <c r="D521" s="3">
        <v>44200</v>
      </c>
      <c r="E521" s="2">
        <v>5873</v>
      </c>
      <c r="F521" s="2">
        <v>861</v>
      </c>
      <c r="G521" s="2">
        <v>2.61</v>
      </c>
      <c r="H521" s="6" t="s">
        <v>21</v>
      </c>
      <c r="I521" s="2">
        <v>768</v>
      </c>
      <c r="J521" s="2">
        <v>2.52</v>
      </c>
      <c r="K521" s="4">
        <f t="shared" si="10"/>
        <v>1.9889100000000002</v>
      </c>
      <c r="L521" s="4">
        <f t="shared" si="11"/>
        <v>2.6428499999999997</v>
      </c>
      <c r="M521" s="5">
        <f t="shared" si="12"/>
        <v>0.30067199999999999</v>
      </c>
      <c r="N521" s="4">
        <f t="shared" si="13"/>
        <v>4.9324319999999995</v>
      </c>
      <c r="O521" s="4">
        <f t="shared" si="14"/>
        <v>2.4124319999999995</v>
      </c>
    </row>
    <row r="522" spans="1:15" ht="22.5" customHeight="1" x14ac:dyDescent="0.25">
      <c r="A522" s="2" t="s">
        <v>29</v>
      </c>
      <c r="B522" s="2" t="s">
        <v>31</v>
      </c>
      <c r="C522" s="3">
        <v>44317</v>
      </c>
      <c r="D522" s="3">
        <v>44201</v>
      </c>
      <c r="E522" s="2">
        <v>6089</v>
      </c>
      <c r="F522" s="2">
        <v>307</v>
      </c>
      <c r="G522" s="2">
        <v>5.29</v>
      </c>
      <c r="H522" s="6" t="s">
        <v>17</v>
      </c>
      <c r="I522" s="2">
        <v>324</v>
      </c>
      <c r="J522" s="2">
        <v>7.61</v>
      </c>
      <c r="K522" s="4">
        <f t="shared" si="10"/>
        <v>0.70917000000000008</v>
      </c>
      <c r="L522" s="4">
        <f t="shared" si="11"/>
        <v>2.7400500000000001</v>
      </c>
      <c r="M522" s="5">
        <f t="shared" si="12"/>
        <v>5.1418800000000001E-2</v>
      </c>
      <c r="N522" s="4">
        <f t="shared" si="13"/>
        <v>3.5006388000000004</v>
      </c>
      <c r="O522" s="4">
        <f t="shared" si="14"/>
        <v>-4.1093612000000004</v>
      </c>
    </row>
    <row r="523" spans="1:15" ht="22.5" customHeight="1" x14ac:dyDescent="0.25">
      <c r="A523" s="2" t="s">
        <v>29</v>
      </c>
      <c r="B523" s="2" t="s">
        <v>31</v>
      </c>
      <c r="C523" s="3">
        <v>44348</v>
      </c>
      <c r="D523" s="3">
        <v>44202</v>
      </c>
      <c r="E523" s="2">
        <v>6289</v>
      </c>
      <c r="F523" s="2">
        <v>815</v>
      </c>
      <c r="G523" s="2">
        <v>3.16</v>
      </c>
      <c r="H523" s="6" t="s">
        <v>17</v>
      </c>
      <c r="I523" s="2">
        <v>93</v>
      </c>
      <c r="J523" s="2">
        <v>0.91</v>
      </c>
      <c r="K523" s="4">
        <f t="shared" si="10"/>
        <v>1.8826500000000002</v>
      </c>
      <c r="L523" s="4">
        <f t="shared" si="11"/>
        <v>2.8300500000000004</v>
      </c>
      <c r="M523" s="5">
        <f t="shared" si="12"/>
        <v>8.8164000000000003E-3</v>
      </c>
      <c r="N523" s="4">
        <f t="shared" si="13"/>
        <v>4.7215164000000005</v>
      </c>
      <c r="O523" s="4">
        <f t="shared" si="14"/>
        <v>3.8115164000000004</v>
      </c>
    </row>
    <row r="524" spans="1:15" ht="22.5" customHeight="1" x14ac:dyDescent="0.25">
      <c r="A524" s="2" t="s">
        <v>29</v>
      </c>
      <c r="B524" s="2" t="s">
        <v>31</v>
      </c>
      <c r="C524" s="3">
        <v>44378</v>
      </c>
      <c r="D524" s="3">
        <v>44203</v>
      </c>
      <c r="E524" s="2">
        <v>8523</v>
      </c>
      <c r="F524" s="2">
        <v>803</v>
      </c>
      <c r="G524" s="2">
        <v>5.52</v>
      </c>
      <c r="H524" s="6" t="s">
        <v>20</v>
      </c>
      <c r="I524" s="2">
        <v>630</v>
      </c>
      <c r="J524" s="2">
        <v>7.36</v>
      </c>
      <c r="K524" s="4">
        <f t="shared" si="10"/>
        <v>1.85493</v>
      </c>
      <c r="L524" s="4">
        <f t="shared" si="11"/>
        <v>3.83535</v>
      </c>
      <c r="M524" s="5">
        <f t="shared" si="12"/>
        <v>6.9551999999999989E-2</v>
      </c>
      <c r="N524" s="4">
        <f t="shared" si="13"/>
        <v>5.7598319999999994</v>
      </c>
      <c r="O524" s="4">
        <f t="shared" si="14"/>
        <v>-1.6001680000000009</v>
      </c>
    </row>
    <row r="525" spans="1:15" ht="22.5" customHeight="1" x14ac:dyDescent="0.25">
      <c r="A525" s="2" t="s">
        <v>29</v>
      </c>
      <c r="B525" s="2" t="s">
        <v>31</v>
      </c>
      <c r="C525" s="3">
        <v>44409</v>
      </c>
      <c r="D525" s="3">
        <v>44204</v>
      </c>
      <c r="E525" s="2">
        <v>5940</v>
      </c>
      <c r="F525" s="2">
        <v>682</v>
      </c>
      <c r="G525" s="2">
        <v>8.52</v>
      </c>
      <c r="H525" s="6" t="s">
        <v>21</v>
      </c>
      <c r="I525" s="2">
        <v>534</v>
      </c>
      <c r="J525" s="2">
        <v>1.61</v>
      </c>
      <c r="K525" s="4">
        <f t="shared" si="10"/>
        <v>1.57542</v>
      </c>
      <c r="L525" s="4">
        <f t="shared" si="11"/>
        <v>2.673</v>
      </c>
      <c r="M525" s="5">
        <f t="shared" si="12"/>
        <v>0.68245199999999984</v>
      </c>
      <c r="N525" s="4">
        <f t="shared" si="13"/>
        <v>4.9308719999999999</v>
      </c>
      <c r="O525" s="4">
        <f t="shared" si="14"/>
        <v>3.3208719999999996</v>
      </c>
    </row>
    <row r="526" spans="1:15" ht="22.5" customHeight="1" x14ac:dyDescent="0.25">
      <c r="A526" s="2" t="s">
        <v>29</v>
      </c>
      <c r="B526" s="2" t="s">
        <v>31</v>
      </c>
      <c r="C526" s="3">
        <v>44440</v>
      </c>
      <c r="D526" s="3">
        <v>44205</v>
      </c>
      <c r="E526" s="2">
        <v>8880</v>
      </c>
      <c r="F526" s="2">
        <v>225</v>
      </c>
      <c r="G526" s="2">
        <v>5.67</v>
      </c>
      <c r="H526" s="6" t="s">
        <v>21</v>
      </c>
      <c r="I526" s="2">
        <v>72</v>
      </c>
      <c r="J526" s="2">
        <v>2.17</v>
      </c>
      <c r="K526" s="4">
        <f t="shared" si="10"/>
        <v>0.51975000000000005</v>
      </c>
      <c r="L526" s="4">
        <f t="shared" si="11"/>
        <v>3.996</v>
      </c>
      <c r="M526" s="5">
        <f t="shared" si="12"/>
        <v>6.1235999999999992E-2</v>
      </c>
      <c r="N526" s="4">
        <f t="shared" si="13"/>
        <v>4.5769859999999998</v>
      </c>
      <c r="O526" s="4">
        <f t="shared" si="14"/>
        <v>2.4069859999999998</v>
      </c>
    </row>
    <row r="527" spans="1:15" ht="22.5" customHeight="1" x14ac:dyDescent="0.25">
      <c r="A527" s="2" t="s">
        <v>29</v>
      </c>
      <c r="B527" s="2" t="s">
        <v>31</v>
      </c>
      <c r="C527" s="3">
        <v>44470</v>
      </c>
      <c r="D527" s="3">
        <v>44206</v>
      </c>
      <c r="E527" s="2">
        <v>6783</v>
      </c>
      <c r="F527" s="2">
        <v>1066</v>
      </c>
      <c r="G527" s="2">
        <v>1.26</v>
      </c>
      <c r="H527" s="6" t="s">
        <v>18</v>
      </c>
      <c r="I527" s="2">
        <v>467</v>
      </c>
      <c r="J527" s="2">
        <v>4.16</v>
      </c>
      <c r="K527" s="4">
        <f t="shared" si="10"/>
        <v>2.4624600000000001</v>
      </c>
      <c r="L527" s="4">
        <f t="shared" si="11"/>
        <v>3.0523500000000001</v>
      </c>
      <c r="M527" s="5">
        <f t="shared" si="12"/>
        <v>0.35305199999999998</v>
      </c>
      <c r="N527" s="4">
        <f t="shared" si="13"/>
        <v>5.8678620000000006</v>
      </c>
      <c r="O527" s="4">
        <f t="shared" si="14"/>
        <v>1.7078620000000004</v>
      </c>
    </row>
    <row r="528" spans="1:15" ht="22.5" customHeight="1" x14ac:dyDescent="0.25">
      <c r="A528" s="2" t="s">
        <v>29</v>
      </c>
      <c r="B528" s="2" t="s">
        <v>31</v>
      </c>
      <c r="C528" s="3">
        <v>44501</v>
      </c>
      <c r="D528" s="3">
        <v>44207</v>
      </c>
      <c r="E528" s="2">
        <v>9830</v>
      </c>
      <c r="F528" s="2">
        <v>1017</v>
      </c>
      <c r="G528" s="2">
        <v>6.79</v>
      </c>
      <c r="H528" s="6" t="s">
        <v>20</v>
      </c>
      <c r="I528" s="2">
        <v>778</v>
      </c>
      <c r="J528" s="2">
        <v>2.42</v>
      </c>
      <c r="K528" s="4">
        <f t="shared" si="10"/>
        <v>2.3492700000000002</v>
      </c>
      <c r="L528" s="4">
        <f t="shared" si="11"/>
        <v>4.4234999999999998</v>
      </c>
      <c r="M528" s="5">
        <f t="shared" si="12"/>
        <v>0.10565239999999999</v>
      </c>
      <c r="N528" s="4">
        <f t="shared" si="13"/>
        <v>6.8784223999999998</v>
      </c>
      <c r="O528" s="4">
        <f t="shared" si="14"/>
        <v>4.4584223999999999</v>
      </c>
    </row>
    <row r="529" spans="1:15" ht="22.5" customHeight="1" x14ac:dyDescent="0.25">
      <c r="A529" s="2" t="s">
        <v>29</v>
      </c>
      <c r="B529" s="2" t="s">
        <v>31</v>
      </c>
      <c r="C529" s="3">
        <v>44531</v>
      </c>
      <c r="D529" s="3">
        <v>44208</v>
      </c>
      <c r="E529" s="2">
        <v>6398</v>
      </c>
      <c r="F529" s="2">
        <v>903</v>
      </c>
      <c r="G529" s="2">
        <v>2.17</v>
      </c>
      <c r="H529" s="6" t="s">
        <v>21</v>
      </c>
      <c r="I529" s="2">
        <v>633</v>
      </c>
      <c r="J529" s="2">
        <v>6.54</v>
      </c>
      <c r="K529" s="4">
        <f t="shared" si="10"/>
        <v>2.0859299999999998</v>
      </c>
      <c r="L529" s="4">
        <f t="shared" si="11"/>
        <v>2.8790999999999998</v>
      </c>
      <c r="M529" s="5">
        <f t="shared" si="12"/>
        <v>0.20604150000000002</v>
      </c>
      <c r="N529" s="4">
        <f t="shared" si="13"/>
        <v>5.1710715</v>
      </c>
      <c r="O529" s="4">
        <f t="shared" si="14"/>
        <v>-1.3689285</v>
      </c>
    </row>
    <row r="530" spans="1:15" ht="22.5" customHeight="1" x14ac:dyDescent="0.25">
      <c r="A530" s="2" t="s">
        <v>29</v>
      </c>
      <c r="B530" s="2" t="s">
        <v>31</v>
      </c>
      <c r="C530" s="3">
        <v>44562</v>
      </c>
      <c r="D530" s="3">
        <v>44562</v>
      </c>
      <c r="E530" s="2">
        <v>6407</v>
      </c>
      <c r="F530" s="2">
        <v>746</v>
      </c>
      <c r="G530" s="2">
        <v>1.65</v>
      </c>
      <c r="H530" s="6" t="s">
        <v>21</v>
      </c>
      <c r="I530" s="2">
        <v>259</v>
      </c>
      <c r="J530" s="2">
        <v>9.91</v>
      </c>
      <c r="K530" s="4">
        <f t="shared" si="10"/>
        <v>1.72326</v>
      </c>
      <c r="L530" s="4">
        <f t="shared" si="11"/>
        <v>2.8831500000000001</v>
      </c>
      <c r="M530" s="5">
        <f t="shared" si="12"/>
        <v>6.4102499999999993E-2</v>
      </c>
      <c r="N530" s="4">
        <f t="shared" si="13"/>
        <v>4.6705125000000001</v>
      </c>
      <c r="O530" s="4">
        <f t="shared" si="14"/>
        <v>-5.2394875000000001</v>
      </c>
    </row>
    <row r="531" spans="1:15" ht="22.5" customHeight="1" x14ac:dyDescent="0.25">
      <c r="A531" s="2" t="s">
        <v>29</v>
      </c>
      <c r="B531" s="2" t="s">
        <v>31</v>
      </c>
      <c r="C531" s="3">
        <v>44593</v>
      </c>
      <c r="D531" s="3">
        <v>44563</v>
      </c>
      <c r="E531" s="2">
        <v>6218</v>
      </c>
      <c r="F531" s="2">
        <v>232</v>
      </c>
      <c r="G531" s="2">
        <v>7.89</v>
      </c>
      <c r="H531" s="6" t="s">
        <v>21</v>
      </c>
      <c r="I531" s="2">
        <v>555</v>
      </c>
      <c r="J531" s="2">
        <v>4.92</v>
      </c>
      <c r="K531" s="4">
        <f t="shared" si="10"/>
        <v>0.53591999999999995</v>
      </c>
      <c r="L531" s="4">
        <f t="shared" si="11"/>
        <v>2.7980999999999998</v>
      </c>
      <c r="M531" s="5">
        <f t="shared" si="12"/>
        <v>0.6568425</v>
      </c>
      <c r="N531" s="4">
        <f t="shared" si="13"/>
        <v>3.9908624999999995</v>
      </c>
      <c r="O531" s="4">
        <f t="shared" si="14"/>
        <v>-0.92913750000000039</v>
      </c>
    </row>
    <row r="532" spans="1:15" ht="22.5" customHeight="1" x14ac:dyDescent="0.25">
      <c r="A532" s="2" t="s">
        <v>29</v>
      </c>
      <c r="B532" s="2" t="s">
        <v>31</v>
      </c>
      <c r="C532" s="3">
        <v>44621</v>
      </c>
      <c r="D532" s="3">
        <v>44564</v>
      </c>
      <c r="E532" s="2">
        <v>9667</v>
      </c>
      <c r="F532" s="2">
        <v>467</v>
      </c>
      <c r="G532" s="2">
        <v>9.82</v>
      </c>
      <c r="H532" s="6" t="s">
        <v>18</v>
      </c>
      <c r="I532" s="2">
        <v>240</v>
      </c>
      <c r="J532" s="2">
        <v>9.14</v>
      </c>
      <c r="K532" s="4">
        <f t="shared" si="10"/>
        <v>1.07877</v>
      </c>
      <c r="L532" s="4">
        <f t="shared" si="11"/>
        <v>4.3501500000000002</v>
      </c>
      <c r="M532" s="5">
        <f t="shared" si="12"/>
        <v>1.41408</v>
      </c>
      <c r="N532" s="4">
        <f t="shared" si="13"/>
        <v>6.843</v>
      </c>
      <c r="O532" s="4">
        <f t="shared" si="14"/>
        <v>-2.2970000000000006</v>
      </c>
    </row>
    <row r="533" spans="1:15" ht="22.5" customHeight="1" x14ac:dyDescent="0.25">
      <c r="A533" s="2" t="s">
        <v>29</v>
      </c>
      <c r="B533" s="2" t="s">
        <v>31</v>
      </c>
      <c r="C533" s="3">
        <v>44652</v>
      </c>
      <c r="D533" s="3">
        <v>44565</v>
      </c>
      <c r="E533" s="2">
        <v>7564</v>
      </c>
      <c r="F533" s="2">
        <v>363</v>
      </c>
      <c r="G533" s="2">
        <v>9.3699999999999992</v>
      </c>
      <c r="H533" s="6" t="s">
        <v>17</v>
      </c>
      <c r="I533" s="2">
        <v>480</v>
      </c>
      <c r="J533" s="2">
        <v>8.31</v>
      </c>
      <c r="K533" s="4">
        <f t="shared" si="10"/>
        <v>0.83853</v>
      </c>
      <c r="L533" s="4">
        <f t="shared" si="11"/>
        <v>3.4038000000000004</v>
      </c>
      <c r="M533" s="5">
        <f t="shared" si="12"/>
        <v>0.13492799999999996</v>
      </c>
      <c r="N533" s="4">
        <f t="shared" si="13"/>
        <v>4.3772580000000012</v>
      </c>
      <c r="O533" s="4">
        <f t="shared" si="14"/>
        <v>-3.9327419999999993</v>
      </c>
    </row>
    <row r="534" spans="1:15" ht="22.5" customHeight="1" x14ac:dyDescent="0.25">
      <c r="A534" s="2" t="s">
        <v>29</v>
      </c>
      <c r="B534" s="2" t="s">
        <v>31</v>
      </c>
      <c r="C534" s="3">
        <v>44682</v>
      </c>
      <c r="D534" s="3">
        <v>44566</v>
      </c>
      <c r="E534" s="2">
        <v>3837</v>
      </c>
      <c r="F534" s="2">
        <v>840</v>
      </c>
      <c r="G534" s="2">
        <v>7.52</v>
      </c>
      <c r="H534" s="6" t="s">
        <v>21</v>
      </c>
      <c r="I534" s="2">
        <v>540</v>
      </c>
      <c r="J534" s="2">
        <v>9.31</v>
      </c>
      <c r="K534" s="4">
        <f t="shared" si="10"/>
        <v>1.9404000000000001</v>
      </c>
      <c r="L534" s="4">
        <f t="shared" si="11"/>
        <v>1.72665</v>
      </c>
      <c r="M534" s="5">
        <f t="shared" si="12"/>
        <v>0.60911999999999999</v>
      </c>
      <c r="N534" s="4">
        <f t="shared" si="13"/>
        <v>4.2761700000000005</v>
      </c>
      <c r="O534" s="4">
        <f t="shared" si="14"/>
        <v>-5.03383</v>
      </c>
    </row>
    <row r="535" spans="1:15" ht="22.5" customHeight="1" x14ac:dyDescent="0.25">
      <c r="A535" s="2" t="s">
        <v>29</v>
      </c>
      <c r="B535" s="2" t="s">
        <v>31</v>
      </c>
      <c r="C535" s="3">
        <v>44713</v>
      </c>
      <c r="D535" s="3">
        <v>44567</v>
      </c>
      <c r="E535" s="2">
        <v>7942</v>
      </c>
      <c r="F535" s="2">
        <v>862</v>
      </c>
      <c r="G535" s="2">
        <v>9.09</v>
      </c>
      <c r="H535" s="6" t="s">
        <v>17</v>
      </c>
      <c r="I535" s="2">
        <v>323</v>
      </c>
      <c r="J535" s="2">
        <v>4.3899999999999997</v>
      </c>
      <c r="K535" s="4">
        <f t="shared" si="10"/>
        <v>1.99122</v>
      </c>
      <c r="L535" s="4">
        <f t="shared" si="11"/>
        <v>3.5739000000000001</v>
      </c>
      <c r="M535" s="5">
        <f t="shared" si="12"/>
        <v>8.8082099999999997E-2</v>
      </c>
      <c r="N535" s="4">
        <f t="shared" si="13"/>
        <v>5.6532021000000006</v>
      </c>
      <c r="O535" s="4">
        <f t="shared" si="14"/>
        <v>1.2632021000000009</v>
      </c>
    </row>
    <row r="536" spans="1:15" ht="22.5" customHeight="1" x14ac:dyDescent="0.25">
      <c r="A536" s="2" t="s">
        <v>29</v>
      </c>
      <c r="B536" s="2" t="s">
        <v>31</v>
      </c>
      <c r="C536" s="3">
        <v>44743</v>
      </c>
      <c r="D536" s="3">
        <v>44568</v>
      </c>
      <c r="E536" s="2">
        <v>9113</v>
      </c>
      <c r="F536" s="2">
        <v>1061</v>
      </c>
      <c r="G536" s="2">
        <v>2.2400000000000002</v>
      </c>
      <c r="H536" s="6" t="s">
        <v>17</v>
      </c>
      <c r="I536" s="2">
        <v>451</v>
      </c>
      <c r="J536" s="2">
        <v>7.05</v>
      </c>
      <c r="K536" s="4">
        <f t="shared" si="10"/>
        <v>2.4509099999999999</v>
      </c>
      <c r="L536" s="4">
        <f t="shared" si="11"/>
        <v>4.1008500000000003</v>
      </c>
      <c r="M536" s="5">
        <f t="shared" si="12"/>
        <v>3.0307200000000003E-2</v>
      </c>
      <c r="N536" s="4">
        <f t="shared" si="13"/>
        <v>6.5820672</v>
      </c>
      <c r="O536" s="4">
        <f t="shared" si="14"/>
        <v>-0.46793279999999982</v>
      </c>
    </row>
    <row r="537" spans="1:15" ht="22.5" customHeight="1" x14ac:dyDescent="0.25">
      <c r="A537" s="2" t="s">
        <v>29</v>
      </c>
      <c r="B537" s="2" t="s">
        <v>31</v>
      </c>
      <c r="C537" s="3">
        <v>44774</v>
      </c>
      <c r="D537" s="3">
        <v>44569</v>
      </c>
      <c r="E537" s="2">
        <v>4197</v>
      </c>
      <c r="F537" s="2">
        <v>517</v>
      </c>
      <c r="G537" s="2">
        <v>4.0199999999999996</v>
      </c>
      <c r="H537" s="6" t="s">
        <v>21</v>
      </c>
      <c r="I537" s="2">
        <v>985</v>
      </c>
      <c r="J537" s="2">
        <v>9.4499999999999993</v>
      </c>
      <c r="K537" s="4">
        <f t="shared" si="10"/>
        <v>1.1942699999999999</v>
      </c>
      <c r="L537" s="4">
        <f t="shared" si="11"/>
        <v>1.8886500000000002</v>
      </c>
      <c r="M537" s="5">
        <f t="shared" si="12"/>
        <v>0.5939549999999999</v>
      </c>
      <c r="N537" s="4">
        <f t="shared" si="13"/>
        <v>3.6768749999999999</v>
      </c>
      <c r="O537" s="4">
        <f t="shared" si="14"/>
        <v>-5.7731249999999994</v>
      </c>
    </row>
    <row r="538" spans="1:15" ht="22.5" customHeight="1" x14ac:dyDescent="0.25">
      <c r="A538" s="2" t="s">
        <v>29</v>
      </c>
      <c r="B538" s="2" t="s">
        <v>31</v>
      </c>
      <c r="C538" s="3">
        <v>44805</v>
      </c>
      <c r="D538" s="3">
        <v>44570</v>
      </c>
      <c r="E538" s="2">
        <v>5860</v>
      </c>
      <c r="F538" s="2">
        <v>834</v>
      </c>
      <c r="G538" s="2">
        <v>8.6300000000000008</v>
      </c>
      <c r="H538" s="6" t="s">
        <v>18</v>
      </c>
      <c r="I538" s="2">
        <v>938</v>
      </c>
      <c r="J538" s="2">
        <v>2.36</v>
      </c>
      <c r="K538" s="4">
        <f t="shared" si="10"/>
        <v>1.9265399999999999</v>
      </c>
      <c r="L538" s="4">
        <f t="shared" si="11"/>
        <v>2.637</v>
      </c>
      <c r="M538" s="5">
        <f t="shared" si="12"/>
        <v>4.8569639999999996</v>
      </c>
      <c r="N538" s="4">
        <f t="shared" si="13"/>
        <v>9.4205039999999993</v>
      </c>
      <c r="O538" s="4">
        <f t="shared" si="14"/>
        <v>7.0605039999999999</v>
      </c>
    </row>
    <row r="539" spans="1:15" ht="22.5" customHeight="1" x14ac:dyDescent="0.25">
      <c r="A539" s="2" t="s">
        <v>29</v>
      </c>
      <c r="B539" s="2" t="s">
        <v>31</v>
      </c>
      <c r="C539" s="3">
        <v>44835</v>
      </c>
      <c r="D539" s="3">
        <v>44571</v>
      </c>
      <c r="E539" s="2">
        <v>6982</v>
      </c>
      <c r="F539" s="2">
        <v>866</v>
      </c>
      <c r="G539" s="2">
        <v>9.4700000000000006</v>
      </c>
      <c r="H539" s="6" t="s">
        <v>21</v>
      </c>
      <c r="I539" s="2">
        <v>497</v>
      </c>
      <c r="J539" s="2">
        <v>5.2</v>
      </c>
      <c r="K539" s="4">
        <f t="shared" si="10"/>
        <v>2.0004599999999999</v>
      </c>
      <c r="L539" s="4">
        <f t="shared" si="11"/>
        <v>3.1419000000000001</v>
      </c>
      <c r="M539" s="5">
        <f t="shared" si="12"/>
        <v>0.70598850000000002</v>
      </c>
      <c r="N539" s="4">
        <f t="shared" si="13"/>
        <v>5.8483485000000002</v>
      </c>
      <c r="O539" s="4">
        <f t="shared" si="14"/>
        <v>0.64834849999999999</v>
      </c>
    </row>
    <row r="540" spans="1:15" ht="22.5" customHeight="1" x14ac:dyDescent="0.25">
      <c r="A540" s="2" t="s">
        <v>29</v>
      </c>
      <c r="B540" s="2" t="s">
        <v>31</v>
      </c>
      <c r="C540" s="3">
        <v>44866</v>
      </c>
      <c r="D540" s="3">
        <v>44572</v>
      </c>
      <c r="E540" s="2">
        <v>8160</v>
      </c>
      <c r="F540" s="2">
        <v>702</v>
      </c>
      <c r="G540" s="2">
        <v>6.3</v>
      </c>
      <c r="H540" s="6" t="s">
        <v>21</v>
      </c>
      <c r="I540" s="2">
        <v>528</v>
      </c>
      <c r="J540" s="2">
        <v>4.4400000000000004</v>
      </c>
      <c r="K540" s="4">
        <f t="shared" si="10"/>
        <v>1.6216200000000001</v>
      </c>
      <c r="L540" s="4">
        <f t="shared" si="11"/>
        <v>3.6720000000000002</v>
      </c>
      <c r="M540" s="5">
        <f t="shared" si="12"/>
        <v>0.49895999999999996</v>
      </c>
      <c r="N540" s="4">
        <f t="shared" si="13"/>
        <v>5.792580000000001</v>
      </c>
      <c r="O540" s="4">
        <f t="shared" si="14"/>
        <v>1.3525800000000006</v>
      </c>
    </row>
    <row r="541" spans="1:15" ht="22.5" customHeight="1" x14ac:dyDescent="0.25">
      <c r="A541" s="2" t="s">
        <v>29</v>
      </c>
      <c r="B541" s="2" t="s">
        <v>31</v>
      </c>
      <c r="C541" s="3">
        <v>44896</v>
      </c>
      <c r="D541" s="3">
        <v>44573</v>
      </c>
      <c r="E541" s="2">
        <v>9443</v>
      </c>
      <c r="F541" s="2">
        <v>356</v>
      </c>
      <c r="G541" s="2">
        <v>4.8</v>
      </c>
      <c r="H541" s="6" t="s">
        <v>17</v>
      </c>
      <c r="I541" s="2">
        <v>560</v>
      </c>
      <c r="J541" s="2">
        <v>6.76</v>
      </c>
      <c r="K541" s="4">
        <f t="shared" si="10"/>
        <v>0.82235999999999998</v>
      </c>
      <c r="L541" s="4">
        <f t="shared" si="11"/>
        <v>4.2493500000000006</v>
      </c>
      <c r="M541" s="5">
        <f t="shared" si="12"/>
        <v>8.0640000000000003E-2</v>
      </c>
      <c r="N541" s="4">
        <f t="shared" si="13"/>
        <v>5.1523500000000002</v>
      </c>
      <c r="O541" s="4">
        <f t="shared" si="14"/>
        <v>-1.6076499999999996</v>
      </c>
    </row>
    <row r="542" spans="1:15" ht="22.5" customHeight="1" x14ac:dyDescent="0.25">
      <c r="A542" s="2" t="s">
        <v>29</v>
      </c>
      <c r="B542" s="2" t="s">
        <v>31</v>
      </c>
      <c r="C542" s="3">
        <v>44927</v>
      </c>
      <c r="D542" s="3">
        <v>44927</v>
      </c>
      <c r="E542" s="2">
        <v>7878</v>
      </c>
      <c r="F542" s="2">
        <v>600</v>
      </c>
      <c r="G542" s="2">
        <v>2.12</v>
      </c>
      <c r="H542" s="6" t="s">
        <v>18</v>
      </c>
      <c r="I542" s="2">
        <v>642</v>
      </c>
      <c r="J542" s="2">
        <v>9.86</v>
      </c>
      <c r="K542" s="4">
        <f t="shared" si="10"/>
        <v>1.3859999999999999</v>
      </c>
      <c r="L542" s="4">
        <f t="shared" si="11"/>
        <v>3.5450999999999997</v>
      </c>
      <c r="M542" s="5">
        <f t="shared" si="12"/>
        <v>0.81662400000000002</v>
      </c>
      <c r="N542" s="4">
        <f t="shared" si="13"/>
        <v>5.7477239999999998</v>
      </c>
      <c r="O542" s="4">
        <f t="shared" si="14"/>
        <v>-4.1122759999999996</v>
      </c>
    </row>
    <row r="543" spans="1:15" ht="22.5" customHeight="1" x14ac:dyDescent="0.25">
      <c r="A543" s="2" t="s">
        <v>29</v>
      </c>
      <c r="B543" s="2" t="s">
        <v>31</v>
      </c>
      <c r="C543" s="3">
        <v>44958</v>
      </c>
      <c r="D543" s="3">
        <v>44928</v>
      </c>
      <c r="E543" s="2">
        <v>5696</v>
      </c>
      <c r="F543" s="2">
        <v>493</v>
      </c>
      <c r="G543" s="2">
        <v>6.6</v>
      </c>
      <c r="H543" s="6" t="s">
        <v>21</v>
      </c>
      <c r="I543" s="2">
        <v>731</v>
      </c>
      <c r="J543" s="2">
        <v>5.14</v>
      </c>
      <c r="K543" s="4">
        <f t="shared" si="10"/>
        <v>1.13883</v>
      </c>
      <c r="L543" s="4">
        <f t="shared" si="11"/>
        <v>2.5632000000000001</v>
      </c>
      <c r="M543" s="5">
        <f t="shared" si="12"/>
        <v>0.72368999999999994</v>
      </c>
      <c r="N543" s="4">
        <f t="shared" si="13"/>
        <v>4.4257200000000001</v>
      </c>
      <c r="O543" s="4">
        <f t="shared" si="14"/>
        <v>-0.71427999999999958</v>
      </c>
    </row>
    <row r="544" spans="1:15" ht="22.5" customHeight="1" x14ac:dyDescent="0.25">
      <c r="A544" s="2" t="s">
        <v>29</v>
      </c>
      <c r="B544" s="2" t="s">
        <v>31</v>
      </c>
      <c r="C544" s="3">
        <v>44986</v>
      </c>
      <c r="D544" s="3">
        <v>44929</v>
      </c>
      <c r="E544" s="2">
        <v>7217</v>
      </c>
      <c r="F544" s="2">
        <v>571</v>
      </c>
      <c r="G544" s="2">
        <v>9.52</v>
      </c>
      <c r="H544" s="6" t="s">
        <v>17</v>
      </c>
      <c r="I544" s="2">
        <v>300</v>
      </c>
      <c r="J544" s="2">
        <v>2.4700000000000002</v>
      </c>
      <c r="K544" s="4">
        <f t="shared" si="10"/>
        <v>1.31901</v>
      </c>
      <c r="L544" s="4">
        <f t="shared" si="11"/>
        <v>3.2476500000000001</v>
      </c>
      <c r="M544" s="5">
        <f t="shared" si="12"/>
        <v>8.5679999999999992E-2</v>
      </c>
      <c r="N544" s="4">
        <f t="shared" si="13"/>
        <v>4.6523400000000006</v>
      </c>
      <c r="O544" s="4">
        <f t="shared" si="14"/>
        <v>2.1823400000000004</v>
      </c>
    </row>
    <row r="545" spans="1:15" ht="22.5" customHeight="1" x14ac:dyDescent="0.25">
      <c r="A545" s="2" t="s">
        <v>29</v>
      </c>
      <c r="B545" s="2" t="s">
        <v>31</v>
      </c>
      <c r="C545" s="3">
        <v>45017</v>
      </c>
      <c r="D545" s="3">
        <v>44930</v>
      </c>
      <c r="E545" s="2">
        <v>5246</v>
      </c>
      <c r="F545" s="2">
        <v>479</v>
      </c>
      <c r="G545" s="2">
        <v>1.71</v>
      </c>
      <c r="H545" s="6" t="s">
        <v>21</v>
      </c>
      <c r="I545" s="2">
        <v>404</v>
      </c>
      <c r="J545" s="2">
        <v>0.91</v>
      </c>
      <c r="K545" s="4">
        <f t="shared" si="10"/>
        <v>1.10649</v>
      </c>
      <c r="L545" s="4">
        <f t="shared" si="11"/>
        <v>2.3607000000000005</v>
      </c>
      <c r="M545" s="5">
        <f t="shared" si="12"/>
        <v>0.103626</v>
      </c>
      <c r="N545" s="4">
        <f t="shared" si="13"/>
        <v>3.5708160000000007</v>
      </c>
      <c r="O545" s="4">
        <f t="shared" si="14"/>
        <v>2.6608160000000005</v>
      </c>
    </row>
    <row r="546" spans="1:15" ht="22.5" customHeight="1" x14ac:dyDescent="0.25">
      <c r="A546" s="2" t="s">
        <v>29</v>
      </c>
      <c r="B546" s="2" t="s">
        <v>31</v>
      </c>
      <c r="C546" s="3">
        <v>45047</v>
      </c>
      <c r="D546" s="3">
        <v>44931</v>
      </c>
      <c r="E546" s="2">
        <v>3269</v>
      </c>
      <c r="F546" s="2">
        <v>1124</v>
      </c>
      <c r="G546" s="2">
        <v>5.37</v>
      </c>
      <c r="H546" s="6" t="s">
        <v>21</v>
      </c>
      <c r="I546" s="2">
        <v>610</v>
      </c>
      <c r="J546" s="2">
        <v>3.36</v>
      </c>
      <c r="K546" s="4">
        <f t="shared" si="10"/>
        <v>2.5964399999999999</v>
      </c>
      <c r="L546" s="4">
        <f t="shared" si="11"/>
        <v>1.47105</v>
      </c>
      <c r="M546" s="5">
        <f t="shared" si="12"/>
        <v>0.49135500000000004</v>
      </c>
      <c r="N546" s="4">
        <f t="shared" si="13"/>
        <v>4.5588449999999998</v>
      </c>
      <c r="O546" s="4">
        <f t="shared" si="14"/>
        <v>1.1988449999999999</v>
      </c>
    </row>
    <row r="547" spans="1:15" ht="22.5" customHeight="1" x14ac:dyDescent="0.25">
      <c r="A547" s="2" t="s">
        <v>29</v>
      </c>
      <c r="B547" s="2" t="s">
        <v>31</v>
      </c>
      <c r="C547" s="3">
        <v>45078</v>
      </c>
      <c r="D547" s="3">
        <v>44932</v>
      </c>
      <c r="E547" s="2">
        <v>7370</v>
      </c>
      <c r="F547" s="2">
        <v>877</v>
      </c>
      <c r="G547" s="2">
        <v>6.79</v>
      </c>
      <c r="H547" s="6" t="s">
        <v>21</v>
      </c>
      <c r="I547" s="2">
        <v>633</v>
      </c>
      <c r="J547" s="2">
        <v>1.95</v>
      </c>
      <c r="K547" s="4">
        <f t="shared" si="10"/>
        <v>2.0258700000000003</v>
      </c>
      <c r="L547" s="4">
        <f t="shared" si="11"/>
        <v>3.3165</v>
      </c>
      <c r="M547" s="5">
        <f t="shared" si="12"/>
        <v>0.64471050000000008</v>
      </c>
      <c r="N547" s="4">
        <f t="shared" si="13"/>
        <v>5.9870805000000011</v>
      </c>
      <c r="O547" s="4">
        <f t="shared" si="14"/>
        <v>4.037080500000001</v>
      </c>
    </row>
    <row r="548" spans="1:15" ht="22.5" customHeight="1" x14ac:dyDescent="0.25">
      <c r="A548" s="2" t="s">
        <v>29</v>
      </c>
      <c r="B548" s="2" t="s">
        <v>31</v>
      </c>
      <c r="C548" s="3">
        <v>45108</v>
      </c>
      <c r="D548" s="3">
        <v>44933</v>
      </c>
      <c r="E548" s="2">
        <v>8918</v>
      </c>
      <c r="F548" s="2">
        <v>306</v>
      </c>
      <c r="G548" s="2">
        <v>1.43</v>
      </c>
      <c r="H548" s="6" t="s">
        <v>21</v>
      </c>
      <c r="I548" s="2">
        <v>467</v>
      </c>
      <c r="J548" s="2">
        <v>5.17</v>
      </c>
      <c r="K548" s="4">
        <f t="shared" si="10"/>
        <v>0.70686000000000004</v>
      </c>
      <c r="L548" s="4">
        <f t="shared" si="11"/>
        <v>4.0130999999999997</v>
      </c>
      <c r="M548" s="5">
        <f t="shared" si="12"/>
        <v>0.1001715</v>
      </c>
      <c r="N548" s="4">
        <f t="shared" si="13"/>
        <v>4.8201314999999996</v>
      </c>
      <c r="O548" s="4">
        <f t="shared" si="14"/>
        <v>-0.34986850000000036</v>
      </c>
    </row>
    <row r="549" spans="1:15" ht="22.5" customHeight="1" x14ac:dyDescent="0.25">
      <c r="A549" s="2" t="s">
        <v>29</v>
      </c>
      <c r="B549" s="2" t="s">
        <v>31</v>
      </c>
      <c r="C549" s="3">
        <v>45139</v>
      </c>
      <c r="D549" s="3">
        <v>44934</v>
      </c>
      <c r="E549" s="2">
        <v>5939</v>
      </c>
      <c r="F549" s="2">
        <v>715</v>
      </c>
      <c r="G549" s="2">
        <v>2.36</v>
      </c>
      <c r="H549" s="6" t="s">
        <v>18</v>
      </c>
      <c r="I549" s="2">
        <v>754</v>
      </c>
      <c r="J549" s="2">
        <v>1.74</v>
      </c>
      <c r="K549" s="4">
        <f t="shared" si="10"/>
        <v>1.6516500000000001</v>
      </c>
      <c r="L549" s="4">
        <f t="shared" si="11"/>
        <v>2.6725500000000002</v>
      </c>
      <c r="M549" s="5">
        <f t="shared" si="12"/>
        <v>1.0676639999999999</v>
      </c>
      <c r="N549" s="4">
        <f t="shared" si="13"/>
        <v>5.391864</v>
      </c>
      <c r="O549" s="4">
        <f t="shared" si="14"/>
        <v>3.6518639999999998</v>
      </c>
    </row>
    <row r="550" spans="1:15" ht="22.5" customHeight="1" x14ac:dyDescent="0.25">
      <c r="A550" s="2" t="s">
        <v>29</v>
      </c>
      <c r="B550" s="2" t="s">
        <v>31</v>
      </c>
      <c r="C550" s="3">
        <v>45170</v>
      </c>
      <c r="D550" s="3">
        <v>44935</v>
      </c>
      <c r="E550" s="2">
        <v>3319</v>
      </c>
      <c r="F550" s="2">
        <v>709</v>
      </c>
      <c r="G550" s="2">
        <v>9.5500000000000007</v>
      </c>
      <c r="H550" s="6" t="s">
        <v>17</v>
      </c>
      <c r="I550" s="2">
        <v>260</v>
      </c>
      <c r="J550" s="2">
        <v>4.24</v>
      </c>
      <c r="K550" s="4">
        <f t="shared" si="10"/>
        <v>1.6377899999999999</v>
      </c>
      <c r="L550" s="4">
        <f t="shared" si="11"/>
        <v>1.4935499999999999</v>
      </c>
      <c r="M550" s="5">
        <f t="shared" si="12"/>
        <v>7.4490000000000015E-2</v>
      </c>
      <c r="N550" s="4">
        <f t="shared" si="13"/>
        <v>3.2058299999999997</v>
      </c>
      <c r="O550" s="4">
        <f t="shared" si="14"/>
        <v>-1.0341700000000005</v>
      </c>
    </row>
    <row r="551" spans="1:15" ht="22.5" customHeight="1" x14ac:dyDescent="0.25">
      <c r="A551" s="2" t="s">
        <v>29</v>
      </c>
      <c r="B551" s="2" t="s">
        <v>31</v>
      </c>
      <c r="C551" s="3">
        <v>45200</v>
      </c>
      <c r="D551" s="3">
        <v>44936</v>
      </c>
      <c r="E551" s="2">
        <v>9538</v>
      </c>
      <c r="F551" s="2">
        <v>1166</v>
      </c>
      <c r="G551" s="2">
        <v>1.87</v>
      </c>
      <c r="H551" s="6" t="s">
        <v>18</v>
      </c>
      <c r="I551" s="2">
        <v>210</v>
      </c>
      <c r="J551" s="2">
        <v>3.1</v>
      </c>
      <c r="K551" s="4">
        <f t="shared" si="10"/>
        <v>2.69346</v>
      </c>
      <c r="L551" s="4">
        <f t="shared" si="11"/>
        <v>4.2921000000000005</v>
      </c>
      <c r="M551" s="5">
        <f t="shared" si="12"/>
        <v>0.23562</v>
      </c>
      <c r="N551" s="4">
        <f t="shared" si="13"/>
        <v>7.2211800000000004</v>
      </c>
      <c r="O551" s="4">
        <f t="shared" si="14"/>
        <v>4.1211800000000007</v>
      </c>
    </row>
    <row r="552" spans="1:15" ht="22.5" customHeight="1" x14ac:dyDescent="0.25">
      <c r="A552" s="2" t="s">
        <v>29</v>
      </c>
      <c r="B552" s="2" t="s">
        <v>31</v>
      </c>
      <c r="C552" s="3">
        <v>45231</v>
      </c>
      <c r="D552" s="3">
        <v>44937</v>
      </c>
      <c r="E552" s="2">
        <v>5210</v>
      </c>
      <c r="F552" s="2">
        <v>482</v>
      </c>
      <c r="G552" s="2">
        <v>3.55</v>
      </c>
      <c r="H552" s="6" t="s">
        <v>18</v>
      </c>
      <c r="I552" s="2">
        <v>650</v>
      </c>
      <c r="J552" s="2">
        <v>3.38</v>
      </c>
      <c r="K552" s="4">
        <f t="shared" si="10"/>
        <v>1.1134200000000001</v>
      </c>
      <c r="L552" s="4">
        <f t="shared" si="11"/>
        <v>2.3445</v>
      </c>
      <c r="M552" s="5">
        <f t="shared" si="12"/>
        <v>1.3845000000000001</v>
      </c>
      <c r="N552" s="4">
        <f t="shared" si="13"/>
        <v>4.8424200000000006</v>
      </c>
      <c r="O552" s="4">
        <f t="shared" si="14"/>
        <v>1.4624200000000007</v>
      </c>
    </row>
    <row r="553" spans="1:15" ht="22.5" customHeight="1" x14ac:dyDescent="0.25">
      <c r="A553" s="2" t="s">
        <v>29</v>
      </c>
      <c r="B553" s="2" t="s">
        <v>31</v>
      </c>
      <c r="C553" s="3">
        <v>45261</v>
      </c>
      <c r="D553" s="3">
        <v>44938</v>
      </c>
      <c r="E553" s="2">
        <v>5556</v>
      </c>
      <c r="F553" s="2">
        <v>787</v>
      </c>
      <c r="G553" s="2">
        <v>9.42</v>
      </c>
      <c r="H553" s="6" t="s">
        <v>21</v>
      </c>
      <c r="I553" s="2">
        <v>810</v>
      </c>
      <c r="J553" s="2">
        <v>1.81</v>
      </c>
      <c r="K553" s="4">
        <f t="shared" si="10"/>
        <v>1.8179700000000001</v>
      </c>
      <c r="L553" s="4">
        <f t="shared" si="11"/>
        <v>2.5002000000000004</v>
      </c>
      <c r="M553" s="5">
        <f t="shared" si="12"/>
        <v>1.14453</v>
      </c>
      <c r="N553" s="4">
        <f t="shared" si="13"/>
        <v>5.4626999999999999</v>
      </c>
      <c r="O553" s="4">
        <f t="shared" si="14"/>
        <v>3.6526999999999998</v>
      </c>
    </row>
    <row r="554" spans="1:15" ht="22.5" customHeight="1" x14ac:dyDescent="0.25">
      <c r="A554" s="2" t="s">
        <v>29</v>
      </c>
      <c r="B554" s="2" t="s">
        <v>31</v>
      </c>
      <c r="C554" s="3">
        <v>45292</v>
      </c>
      <c r="D554" s="3">
        <v>45292</v>
      </c>
      <c r="E554" s="2">
        <v>8332</v>
      </c>
      <c r="F554" s="2">
        <v>990</v>
      </c>
      <c r="G554" s="2">
        <v>4.8499999999999996</v>
      </c>
      <c r="H554" s="6" t="s">
        <v>21</v>
      </c>
      <c r="I554" s="2">
        <v>201</v>
      </c>
      <c r="J554" s="2">
        <v>4.62</v>
      </c>
      <c r="K554" s="4">
        <f t="shared" si="10"/>
        <v>2.2869000000000002</v>
      </c>
      <c r="L554" s="4">
        <f t="shared" si="11"/>
        <v>3.7494000000000001</v>
      </c>
      <c r="M554" s="5">
        <f t="shared" si="12"/>
        <v>0.14622749999999998</v>
      </c>
      <c r="N554" s="4">
        <f t="shared" si="13"/>
        <v>6.1825275000000008</v>
      </c>
      <c r="O554" s="4">
        <f t="shared" si="14"/>
        <v>1.5625275000000007</v>
      </c>
    </row>
    <row r="555" spans="1:15" ht="22.5" customHeight="1" x14ac:dyDescent="0.25">
      <c r="A555" s="2" t="s">
        <v>29</v>
      </c>
      <c r="B555" s="2" t="s">
        <v>31</v>
      </c>
      <c r="C555" s="3">
        <v>45323</v>
      </c>
      <c r="D555" s="3">
        <v>45293</v>
      </c>
      <c r="E555" s="2">
        <v>8752</v>
      </c>
      <c r="F555" s="2">
        <v>1015</v>
      </c>
      <c r="G555" s="2">
        <v>9.1199999999999992</v>
      </c>
      <c r="H555" s="6" t="s">
        <v>20</v>
      </c>
      <c r="I555" s="2">
        <v>473</v>
      </c>
      <c r="J555" s="2">
        <v>7.42</v>
      </c>
      <c r="K555" s="4">
        <f t="shared" si="10"/>
        <v>2.3446500000000001</v>
      </c>
      <c r="L555" s="4">
        <f t="shared" si="11"/>
        <v>3.9384000000000001</v>
      </c>
      <c r="M555" s="5">
        <f t="shared" si="12"/>
        <v>8.6275199999999996E-2</v>
      </c>
      <c r="N555" s="4">
        <f t="shared" si="13"/>
        <v>6.3693252000000005</v>
      </c>
      <c r="O555" s="4">
        <f t="shared" si="14"/>
        <v>-1.0506747999999995</v>
      </c>
    </row>
    <row r="556" spans="1:15" ht="22.5" customHeight="1" x14ac:dyDescent="0.25">
      <c r="A556" s="2" t="s">
        <v>29</v>
      </c>
      <c r="B556" s="2" t="s">
        <v>31</v>
      </c>
      <c r="C556" s="3">
        <v>45352</v>
      </c>
      <c r="D556" s="3">
        <v>45294</v>
      </c>
      <c r="E556" s="2">
        <v>9743</v>
      </c>
      <c r="F556" s="2">
        <v>909</v>
      </c>
      <c r="G556" s="2">
        <v>1.22</v>
      </c>
      <c r="H556" s="6" t="s">
        <v>20</v>
      </c>
      <c r="I556" s="2">
        <v>877</v>
      </c>
      <c r="J556" s="2">
        <v>4.83</v>
      </c>
      <c r="K556" s="4">
        <f t="shared" si="10"/>
        <v>2.09979</v>
      </c>
      <c r="L556" s="4">
        <f t="shared" si="11"/>
        <v>4.3843500000000004</v>
      </c>
      <c r="M556" s="5">
        <f t="shared" si="12"/>
        <v>2.1398799999999999E-2</v>
      </c>
      <c r="N556" s="4">
        <f t="shared" si="13"/>
        <v>6.5055388000000001</v>
      </c>
      <c r="O556" s="4">
        <f t="shared" si="14"/>
        <v>1.6755388</v>
      </c>
    </row>
    <row r="557" spans="1:15" ht="22.5" customHeight="1" x14ac:dyDescent="0.25">
      <c r="A557" s="2" t="s">
        <v>29</v>
      </c>
      <c r="B557" s="2" t="s">
        <v>31</v>
      </c>
      <c r="C557" s="3">
        <v>45383</v>
      </c>
      <c r="D557" s="3">
        <v>45295</v>
      </c>
      <c r="E557" s="2">
        <v>9802</v>
      </c>
      <c r="F557" s="2">
        <v>387</v>
      </c>
      <c r="G557" s="2">
        <v>7.71</v>
      </c>
      <c r="H557" s="6" t="s">
        <v>17</v>
      </c>
      <c r="I557" s="2">
        <v>156</v>
      </c>
      <c r="J557" s="2">
        <v>5.93</v>
      </c>
      <c r="K557" s="4">
        <f t="shared" si="10"/>
        <v>0.89397000000000004</v>
      </c>
      <c r="L557" s="4">
        <f t="shared" si="11"/>
        <v>4.4109000000000007</v>
      </c>
      <c r="M557" s="5">
        <f t="shared" si="12"/>
        <v>3.6082799999999998E-2</v>
      </c>
      <c r="N557" s="4">
        <f t="shared" si="13"/>
        <v>5.3409528000000011</v>
      </c>
      <c r="O557" s="4">
        <f t="shared" si="14"/>
        <v>-0.58904719999999866</v>
      </c>
    </row>
    <row r="558" spans="1:15" ht="22.5" customHeight="1" x14ac:dyDescent="0.25">
      <c r="A558" s="2" t="s">
        <v>29</v>
      </c>
      <c r="B558" s="2" t="s">
        <v>31</v>
      </c>
      <c r="C558" s="3">
        <v>45413</v>
      </c>
      <c r="D558" s="3">
        <v>45296</v>
      </c>
      <c r="E558" s="2">
        <v>4778</v>
      </c>
      <c r="F558" s="2">
        <v>309</v>
      </c>
      <c r="G558" s="2">
        <v>8.6300000000000008</v>
      </c>
      <c r="H558" s="6" t="s">
        <v>20</v>
      </c>
      <c r="I558" s="2">
        <v>694</v>
      </c>
      <c r="J558" s="2">
        <v>2.4500000000000002</v>
      </c>
      <c r="K558" s="4">
        <f t="shared" si="10"/>
        <v>0.71378999999999992</v>
      </c>
      <c r="L558" s="4">
        <f t="shared" si="11"/>
        <v>2.1501000000000001</v>
      </c>
      <c r="M558" s="5">
        <f t="shared" si="12"/>
        <v>0.11978440000000001</v>
      </c>
      <c r="N558" s="4">
        <f t="shared" si="13"/>
        <v>2.9836743999999999</v>
      </c>
      <c r="O558" s="4">
        <f t="shared" si="14"/>
        <v>0.53367439999999977</v>
      </c>
    </row>
    <row r="559" spans="1:15" ht="22.5" customHeight="1" x14ac:dyDescent="0.25">
      <c r="A559" s="2" t="s">
        <v>29</v>
      </c>
      <c r="B559" s="2" t="s">
        <v>31</v>
      </c>
      <c r="C559" s="3">
        <v>45444</v>
      </c>
      <c r="D559" s="3">
        <v>45297</v>
      </c>
      <c r="E559" s="2">
        <v>7863</v>
      </c>
      <c r="F559" s="2">
        <v>743</v>
      </c>
      <c r="G559" s="2">
        <v>7.49</v>
      </c>
      <c r="H559" s="6" t="s">
        <v>17</v>
      </c>
      <c r="I559" s="2">
        <v>460</v>
      </c>
      <c r="J559" s="2">
        <v>1.91</v>
      </c>
      <c r="K559" s="4">
        <f t="shared" si="10"/>
        <v>1.7163299999999999</v>
      </c>
      <c r="L559" s="4">
        <f t="shared" si="11"/>
        <v>3.5383499999999999</v>
      </c>
      <c r="M559" s="5">
        <f t="shared" si="12"/>
        <v>0.103362</v>
      </c>
      <c r="N559" s="4">
        <f t="shared" si="13"/>
        <v>5.3580419999999993</v>
      </c>
      <c r="O559" s="4">
        <f t="shared" si="14"/>
        <v>3.4480419999999992</v>
      </c>
    </row>
    <row r="560" spans="1:15" ht="22.5" customHeight="1" x14ac:dyDescent="0.25">
      <c r="A560" s="2" t="s">
        <v>29</v>
      </c>
      <c r="B560" s="2" t="s">
        <v>31</v>
      </c>
      <c r="C560" s="3">
        <v>45474</v>
      </c>
      <c r="D560" s="3">
        <v>45298</v>
      </c>
      <c r="E560" s="2">
        <v>9558</v>
      </c>
      <c r="F560" s="2">
        <v>241</v>
      </c>
      <c r="G560" s="2">
        <v>9.84</v>
      </c>
      <c r="H560" s="6" t="s">
        <v>21</v>
      </c>
      <c r="I560" s="2">
        <v>738</v>
      </c>
      <c r="J560" s="2">
        <v>9.0399999999999991</v>
      </c>
      <c r="K560" s="4">
        <f t="shared" si="10"/>
        <v>0.55671000000000004</v>
      </c>
      <c r="L560" s="4">
        <f t="shared" si="11"/>
        <v>4.3010999999999999</v>
      </c>
      <c r="M560" s="5">
        <f t="shared" si="12"/>
        <v>1.089288</v>
      </c>
      <c r="N560" s="4">
        <f t="shared" si="13"/>
        <v>5.9470979999999996</v>
      </c>
      <c r="O560" s="4">
        <f t="shared" si="14"/>
        <v>-3.0929019999999996</v>
      </c>
    </row>
    <row r="561" spans="1:15" ht="22.5" customHeight="1" x14ac:dyDescent="0.25">
      <c r="A561" s="2" t="s">
        <v>29</v>
      </c>
      <c r="B561" s="2" t="s">
        <v>31</v>
      </c>
      <c r="C561" s="3">
        <v>45505</v>
      </c>
      <c r="D561" s="3">
        <v>45299</v>
      </c>
      <c r="E561" s="2">
        <v>8290</v>
      </c>
      <c r="F561" s="2">
        <v>739</v>
      </c>
      <c r="G561" s="2">
        <v>5.07</v>
      </c>
      <c r="H561" s="6" t="s">
        <v>17</v>
      </c>
      <c r="I561" s="2">
        <v>283</v>
      </c>
      <c r="J561" s="2">
        <v>1.82</v>
      </c>
      <c r="K561" s="4">
        <f t="shared" si="10"/>
        <v>1.7070900000000002</v>
      </c>
      <c r="L561" s="4">
        <f t="shared" si="11"/>
        <v>3.7305000000000001</v>
      </c>
      <c r="M561" s="5">
        <f t="shared" si="12"/>
        <v>4.3044300000000008E-2</v>
      </c>
      <c r="N561" s="4">
        <f t="shared" si="13"/>
        <v>5.4806343000000002</v>
      </c>
      <c r="O561" s="4">
        <f t="shared" si="14"/>
        <v>3.6606342999999999</v>
      </c>
    </row>
    <row r="562" spans="1:15" ht="22.5" customHeight="1" x14ac:dyDescent="0.25">
      <c r="A562" s="2" t="s">
        <v>29</v>
      </c>
      <c r="B562" s="2" t="s">
        <v>31</v>
      </c>
      <c r="C562" s="3">
        <v>45536</v>
      </c>
      <c r="D562" s="3">
        <v>45300</v>
      </c>
      <c r="E562" s="2">
        <v>6275</v>
      </c>
      <c r="F562" s="2">
        <v>833</v>
      </c>
      <c r="G562" s="2">
        <v>4.72</v>
      </c>
      <c r="H562" s="6" t="s">
        <v>21</v>
      </c>
      <c r="I562" s="2">
        <v>967</v>
      </c>
      <c r="J562" s="2">
        <v>8.8800000000000008</v>
      </c>
      <c r="K562" s="4">
        <f t="shared" si="10"/>
        <v>1.9242300000000001</v>
      </c>
      <c r="L562" s="4">
        <f t="shared" si="11"/>
        <v>2.82375</v>
      </c>
      <c r="M562" s="5">
        <f t="shared" si="12"/>
        <v>0.6846359999999998</v>
      </c>
      <c r="N562" s="4">
        <f t="shared" si="13"/>
        <v>5.4326159999999994</v>
      </c>
      <c r="O562" s="4">
        <f t="shared" si="14"/>
        <v>-3.4473840000000013</v>
      </c>
    </row>
    <row r="563" spans="1:15" ht="22.5" customHeight="1" x14ac:dyDescent="0.25">
      <c r="A563" s="2" t="s">
        <v>29</v>
      </c>
      <c r="B563" s="2" t="s">
        <v>31</v>
      </c>
      <c r="C563" s="3">
        <v>45566</v>
      </c>
      <c r="D563" s="3">
        <v>45301</v>
      </c>
      <c r="E563" s="2">
        <v>6280</v>
      </c>
      <c r="F563" s="2">
        <v>1176</v>
      </c>
      <c r="G563" s="2">
        <v>7.3</v>
      </c>
      <c r="H563" s="6" t="s">
        <v>17</v>
      </c>
      <c r="I563" s="2">
        <v>730</v>
      </c>
      <c r="J563" s="2">
        <v>7.83</v>
      </c>
      <c r="K563" s="4">
        <f t="shared" si="10"/>
        <v>2.7165599999999999</v>
      </c>
      <c r="L563" s="4">
        <f t="shared" si="11"/>
        <v>2.8260000000000001</v>
      </c>
      <c r="M563" s="5">
        <f t="shared" si="12"/>
        <v>0.15986999999999998</v>
      </c>
      <c r="N563" s="4">
        <f t="shared" si="13"/>
        <v>5.7024299999999997</v>
      </c>
      <c r="O563" s="4">
        <f t="shared" si="14"/>
        <v>-2.1275700000000004</v>
      </c>
    </row>
    <row r="564" spans="1:15" ht="22.5" customHeight="1" x14ac:dyDescent="0.25">
      <c r="A564" s="2" t="s">
        <v>29</v>
      </c>
      <c r="B564" s="2" t="s">
        <v>31</v>
      </c>
      <c r="C564" s="3">
        <v>45597</v>
      </c>
      <c r="D564" s="3">
        <v>45302</v>
      </c>
      <c r="E564" s="2">
        <v>7120</v>
      </c>
      <c r="F564" s="2">
        <v>606</v>
      </c>
      <c r="G564" s="2">
        <v>4.2699999999999996</v>
      </c>
      <c r="H564" s="6" t="s">
        <v>18</v>
      </c>
      <c r="I564" s="2">
        <v>385</v>
      </c>
      <c r="J564" s="2">
        <v>6.84</v>
      </c>
      <c r="K564" s="4">
        <f t="shared" si="10"/>
        <v>1.3998600000000001</v>
      </c>
      <c r="L564" s="4">
        <f t="shared" si="11"/>
        <v>3.2040000000000002</v>
      </c>
      <c r="M564" s="5">
        <f t="shared" si="12"/>
        <v>0.98636999999999986</v>
      </c>
      <c r="N564" s="4">
        <f t="shared" si="13"/>
        <v>5.59023</v>
      </c>
      <c r="O564" s="4">
        <f t="shared" si="14"/>
        <v>-1.2497699999999998</v>
      </c>
    </row>
    <row r="565" spans="1:15" ht="22.5" customHeight="1" x14ac:dyDescent="0.25">
      <c r="A565" s="2" t="s">
        <v>29</v>
      </c>
      <c r="B565" s="2" t="s">
        <v>31</v>
      </c>
      <c r="C565" s="3">
        <v>45627</v>
      </c>
      <c r="D565" s="3">
        <v>45303</v>
      </c>
      <c r="E565" s="2">
        <v>6877</v>
      </c>
      <c r="F565" s="2">
        <v>974</v>
      </c>
      <c r="G565" s="2">
        <v>2.2200000000000002</v>
      </c>
      <c r="H565" s="6" t="s">
        <v>17</v>
      </c>
      <c r="I565" s="2">
        <v>311</v>
      </c>
      <c r="J565" s="2">
        <v>1.73</v>
      </c>
      <c r="K565" s="4">
        <f t="shared" si="10"/>
        <v>2.2499400000000001</v>
      </c>
      <c r="L565" s="4">
        <f t="shared" si="11"/>
        <v>3.0946500000000001</v>
      </c>
      <c r="M565" s="5">
        <f t="shared" si="12"/>
        <v>2.0712600000000001E-2</v>
      </c>
      <c r="N565" s="4">
        <f t="shared" si="13"/>
        <v>5.3653026000000006</v>
      </c>
      <c r="O565" s="4">
        <f t="shared" si="14"/>
        <v>3.6353026000000006</v>
      </c>
    </row>
    <row r="566" spans="1:15" ht="22.5" customHeight="1" x14ac:dyDescent="0.25">
      <c r="A566" s="2" t="s">
        <v>29</v>
      </c>
      <c r="B566" s="2" t="s">
        <v>31</v>
      </c>
      <c r="C566" s="3">
        <v>45658</v>
      </c>
      <c r="D566" s="3">
        <v>45658</v>
      </c>
      <c r="E566" s="2">
        <v>4534</v>
      </c>
      <c r="F566" s="2">
        <v>930</v>
      </c>
      <c r="G566" s="2">
        <v>1.1200000000000001</v>
      </c>
      <c r="H566" s="6" t="s">
        <v>20</v>
      </c>
      <c r="I566" s="2">
        <v>236</v>
      </c>
      <c r="J566" s="2">
        <v>9.69</v>
      </c>
      <c r="K566" s="4">
        <f t="shared" si="10"/>
        <v>2.1483000000000003</v>
      </c>
      <c r="L566" s="4">
        <f t="shared" si="11"/>
        <v>2.0402999999999998</v>
      </c>
      <c r="M566" s="5">
        <f t="shared" si="12"/>
        <v>5.2864000000000001E-3</v>
      </c>
      <c r="N566" s="4">
        <f t="shared" si="13"/>
        <v>4.1938864000000002</v>
      </c>
      <c r="O566" s="4">
        <f t="shared" si="14"/>
        <v>-5.4961135999999993</v>
      </c>
    </row>
    <row r="567" spans="1:15" ht="22.5" customHeight="1" x14ac:dyDescent="0.25">
      <c r="A567" s="2" t="s">
        <v>29</v>
      </c>
      <c r="B567" s="2" t="s">
        <v>31</v>
      </c>
      <c r="C567" s="3">
        <v>45689</v>
      </c>
      <c r="D567" s="3">
        <v>45659</v>
      </c>
      <c r="E567" s="2">
        <v>5443</v>
      </c>
      <c r="F567" s="2">
        <v>703</v>
      </c>
      <c r="G567" s="2">
        <v>1.33</v>
      </c>
      <c r="H567" s="6" t="s">
        <v>17</v>
      </c>
      <c r="I567" s="2">
        <v>942</v>
      </c>
      <c r="J567" s="2">
        <v>5.99</v>
      </c>
      <c r="K567" s="4">
        <f t="shared" si="10"/>
        <v>1.6239300000000001</v>
      </c>
      <c r="L567" s="4">
        <f t="shared" si="11"/>
        <v>2.4493499999999999</v>
      </c>
      <c r="M567" s="5">
        <f t="shared" si="12"/>
        <v>3.7585799999999996E-2</v>
      </c>
      <c r="N567" s="4">
        <f t="shared" si="13"/>
        <v>4.1108658</v>
      </c>
      <c r="O567" s="4">
        <f t="shared" si="14"/>
        <v>-1.8791342000000002</v>
      </c>
    </row>
    <row r="568" spans="1:15" ht="22.5" customHeight="1" x14ac:dyDescent="0.25">
      <c r="A568" s="2" t="s">
        <v>29</v>
      </c>
      <c r="B568" s="2" t="s">
        <v>31</v>
      </c>
      <c r="C568" s="3">
        <v>45717</v>
      </c>
      <c r="D568" s="3">
        <v>45660</v>
      </c>
      <c r="E568" s="2">
        <v>3750</v>
      </c>
      <c r="F568" s="2">
        <v>748</v>
      </c>
      <c r="G568" s="2">
        <v>1.6</v>
      </c>
      <c r="H568" s="6" t="s">
        <v>18</v>
      </c>
      <c r="I568" s="2">
        <v>884</v>
      </c>
      <c r="J568" s="2">
        <v>4.6900000000000004</v>
      </c>
      <c r="K568" s="4">
        <f t="shared" si="10"/>
        <v>1.7278800000000001</v>
      </c>
      <c r="L568" s="4">
        <f t="shared" si="11"/>
        <v>1.6875</v>
      </c>
      <c r="M568" s="5">
        <f t="shared" si="12"/>
        <v>0.84863999999999995</v>
      </c>
      <c r="N568" s="4">
        <f t="shared" si="13"/>
        <v>4.2640199999999995</v>
      </c>
      <c r="O568" s="4">
        <f t="shared" si="14"/>
        <v>-0.42598000000000091</v>
      </c>
    </row>
    <row r="569" spans="1:15" ht="22.5" customHeight="1" x14ac:dyDescent="0.25">
      <c r="A569" s="2" t="s">
        <v>29</v>
      </c>
      <c r="B569" s="2" t="s">
        <v>31</v>
      </c>
      <c r="C569" s="3">
        <v>45748</v>
      </c>
      <c r="D569" s="3">
        <v>45661</v>
      </c>
      <c r="E569" s="2">
        <v>7794</v>
      </c>
      <c r="F569" s="2">
        <v>352</v>
      </c>
      <c r="G569" s="2">
        <v>3.94</v>
      </c>
      <c r="H569" s="6" t="s">
        <v>18</v>
      </c>
      <c r="I569" s="2">
        <v>723</v>
      </c>
      <c r="J569" s="2">
        <v>2.94</v>
      </c>
      <c r="K569" s="4">
        <f t="shared" si="10"/>
        <v>0.81311999999999995</v>
      </c>
      <c r="L569" s="4">
        <f t="shared" si="11"/>
        <v>3.5073000000000003</v>
      </c>
      <c r="M569" s="5">
        <f t="shared" si="12"/>
        <v>1.7091720000000001</v>
      </c>
      <c r="N569" s="4">
        <f t="shared" si="13"/>
        <v>6.029592000000001</v>
      </c>
      <c r="O569" s="4">
        <f t="shared" si="14"/>
        <v>3.089592000000001</v>
      </c>
    </row>
    <row r="570" spans="1:15" ht="22.5" customHeight="1" x14ac:dyDescent="0.25">
      <c r="A570" s="2" t="s">
        <v>29</v>
      </c>
      <c r="B570" s="2" t="s">
        <v>31</v>
      </c>
      <c r="C570" s="3">
        <v>45778</v>
      </c>
      <c r="D570" s="3">
        <v>45662</v>
      </c>
      <c r="E570" s="2">
        <v>5669</v>
      </c>
      <c r="F570" s="2">
        <v>1066</v>
      </c>
      <c r="G570" s="2">
        <v>6.94</v>
      </c>
      <c r="H570" s="6" t="s">
        <v>18</v>
      </c>
      <c r="I570" s="2">
        <v>970</v>
      </c>
      <c r="J570" s="2">
        <v>9.2799999999999994</v>
      </c>
      <c r="K570" s="4">
        <f t="shared" si="10"/>
        <v>2.4624600000000001</v>
      </c>
      <c r="L570" s="4">
        <f t="shared" si="11"/>
        <v>2.55105</v>
      </c>
      <c r="M570" s="5">
        <f t="shared" si="12"/>
        <v>4.0390800000000002</v>
      </c>
      <c r="N570" s="4">
        <f t="shared" si="13"/>
        <v>9.0525900000000004</v>
      </c>
      <c r="O570" s="4">
        <f t="shared" si="14"/>
        <v>-0.227409999999999</v>
      </c>
    </row>
    <row r="571" spans="1:15" ht="22.5" customHeight="1" x14ac:dyDescent="0.25">
      <c r="A571" s="2" t="s">
        <v>29</v>
      </c>
      <c r="B571" s="2" t="s">
        <v>31</v>
      </c>
      <c r="C571" s="3">
        <v>45809</v>
      </c>
      <c r="D571" s="3">
        <v>45663</v>
      </c>
      <c r="E571" s="2">
        <v>9638</v>
      </c>
      <c r="F571" s="2">
        <v>979</v>
      </c>
      <c r="G571" s="2">
        <v>6.25</v>
      </c>
      <c r="H571" s="6" t="s">
        <v>18</v>
      </c>
      <c r="I571" s="2">
        <v>272</v>
      </c>
      <c r="J571" s="2">
        <v>2.35</v>
      </c>
      <c r="K571" s="4">
        <f t="shared" si="10"/>
        <v>2.2614900000000002</v>
      </c>
      <c r="L571" s="4">
        <f t="shared" si="11"/>
        <v>4.3371000000000004</v>
      </c>
      <c r="M571" s="5">
        <f t="shared" si="12"/>
        <v>1.0199999999999998</v>
      </c>
      <c r="N571" s="4">
        <f t="shared" si="13"/>
        <v>7.6185900000000002</v>
      </c>
      <c r="O571" s="4">
        <f t="shared" si="14"/>
        <v>5.2685899999999997</v>
      </c>
    </row>
    <row r="572" spans="1:15" ht="22.5" customHeight="1" x14ac:dyDescent="0.25">
      <c r="A572" s="2" t="s">
        <v>29</v>
      </c>
      <c r="B572" s="2" t="s">
        <v>31</v>
      </c>
      <c r="C572" s="3">
        <v>45839</v>
      </c>
      <c r="D572" s="3">
        <v>45664</v>
      </c>
      <c r="E572" s="2">
        <v>3816</v>
      </c>
      <c r="F572" s="2">
        <v>537</v>
      </c>
      <c r="G572" s="2">
        <v>3.72</v>
      </c>
      <c r="H572" s="6" t="s">
        <v>21</v>
      </c>
      <c r="I572" s="2">
        <v>206</v>
      </c>
      <c r="J572" s="2">
        <v>0.41</v>
      </c>
      <c r="K572" s="4">
        <f t="shared" si="10"/>
        <v>1.24047</v>
      </c>
      <c r="L572" s="4">
        <f t="shared" si="11"/>
        <v>1.7172000000000001</v>
      </c>
      <c r="M572" s="5">
        <f t="shared" si="12"/>
        <v>0.11494800000000001</v>
      </c>
      <c r="N572" s="4">
        <f t="shared" si="13"/>
        <v>3.0726180000000003</v>
      </c>
      <c r="O572" s="4">
        <f t="shared" si="14"/>
        <v>2.6626180000000002</v>
      </c>
    </row>
    <row r="573" spans="1:15" ht="22.5" customHeight="1" x14ac:dyDescent="0.25">
      <c r="A573" s="2" t="s">
        <v>29</v>
      </c>
      <c r="B573" s="2" t="s">
        <v>31</v>
      </c>
      <c r="C573" s="3">
        <v>45870</v>
      </c>
      <c r="D573" s="3">
        <v>45665</v>
      </c>
      <c r="E573" s="2">
        <v>6077</v>
      </c>
      <c r="F573" s="2">
        <v>451</v>
      </c>
      <c r="G573" s="2">
        <v>7.35</v>
      </c>
      <c r="H573" s="6" t="s">
        <v>21</v>
      </c>
      <c r="I573" s="2">
        <v>779</v>
      </c>
      <c r="J573" s="2">
        <v>9.08</v>
      </c>
      <c r="K573" s="4">
        <f t="shared" si="10"/>
        <v>1.0418099999999999</v>
      </c>
      <c r="L573" s="4">
        <f t="shared" si="11"/>
        <v>2.7346500000000002</v>
      </c>
      <c r="M573" s="5">
        <f t="shared" si="12"/>
        <v>0.85884749999999999</v>
      </c>
      <c r="N573" s="4">
        <f t="shared" si="13"/>
        <v>4.6353074999999997</v>
      </c>
      <c r="O573" s="4">
        <f t="shared" si="14"/>
        <v>-4.4446925000000004</v>
      </c>
    </row>
    <row r="574" spans="1:15" ht="22.5" customHeight="1" x14ac:dyDescent="0.25">
      <c r="A574" s="2" t="s">
        <v>29</v>
      </c>
      <c r="B574" s="2" t="s">
        <v>31</v>
      </c>
      <c r="C574" s="3">
        <v>45901</v>
      </c>
      <c r="D574" s="3">
        <v>45666</v>
      </c>
      <c r="E574" s="2">
        <v>6257</v>
      </c>
      <c r="F574" s="2">
        <v>308</v>
      </c>
      <c r="G574" s="2">
        <v>8.7799999999999994</v>
      </c>
      <c r="H574" s="6" t="s">
        <v>21</v>
      </c>
      <c r="I574" s="2">
        <v>433</v>
      </c>
      <c r="J574" s="2">
        <v>9.49</v>
      </c>
      <c r="K574" s="4">
        <f t="shared" si="10"/>
        <v>0.71148</v>
      </c>
      <c r="L574" s="4">
        <f t="shared" si="11"/>
        <v>2.8156500000000002</v>
      </c>
      <c r="M574" s="5">
        <f t="shared" si="12"/>
        <v>0.57026100000000002</v>
      </c>
      <c r="N574" s="4">
        <f t="shared" si="13"/>
        <v>4.097391</v>
      </c>
      <c r="O574" s="4">
        <f t="shared" si="14"/>
        <v>-5.3926090000000002</v>
      </c>
    </row>
    <row r="575" spans="1:15" ht="22.5" customHeight="1" x14ac:dyDescent="0.25">
      <c r="A575" s="2" t="s">
        <v>29</v>
      </c>
      <c r="B575" s="2" t="s">
        <v>31</v>
      </c>
      <c r="C575" s="3">
        <v>45931</v>
      </c>
      <c r="D575" s="3">
        <v>45667</v>
      </c>
      <c r="E575" s="2">
        <v>5019</v>
      </c>
      <c r="F575" s="2">
        <v>851</v>
      </c>
      <c r="G575" s="2">
        <v>1.89</v>
      </c>
      <c r="H575" s="6" t="s">
        <v>17</v>
      </c>
      <c r="I575" s="2">
        <v>350</v>
      </c>
      <c r="J575" s="2">
        <v>0.43</v>
      </c>
      <c r="K575" s="4">
        <f t="shared" si="10"/>
        <v>1.9658099999999998</v>
      </c>
      <c r="L575" s="4">
        <f t="shared" si="11"/>
        <v>2.2585500000000001</v>
      </c>
      <c r="M575" s="5">
        <f t="shared" si="12"/>
        <v>1.9844999999999998E-2</v>
      </c>
      <c r="N575" s="4">
        <f t="shared" si="13"/>
        <v>4.244205</v>
      </c>
      <c r="O575" s="4">
        <f t="shared" si="14"/>
        <v>3.8142049999999998</v>
      </c>
    </row>
    <row r="576" spans="1:15" ht="22.5" customHeight="1" x14ac:dyDescent="0.25">
      <c r="A576" s="2" t="s">
        <v>29</v>
      </c>
      <c r="B576" s="2" t="s">
        <v>31</v>
      </c>
      <c r="C576" s="3">
        <v>45962</v>
      </c>
      <c r="D576" s="3">
        <v>45668</v>
      </c>
      <c r="E576" s="2">
        <v>6823</v>
      </c>
      <c r="F576" s="2">
        <v>1083</v>
      </c>
      <c r="G576" s="2">
        <v>8.6300000000000008</v>
      </c>
      <c r="H576" s="6" t="s">
        <v>18</v>
      </c>
      <c r="I576" s="2">
        <v>563</v>
      </c>
      <c r="J576" s="2">
        <v>9.02</v>
      </c>
      <c r="K576" s="4">
        <f t="shared" si="10"/>
        <v>2.5017300000000002</v>
      </c>
      <c r="L576" s="4">
        <f t="shared" si="11"/>
        <v>3.0703499999999999</v>
      </c>
      <c r="M576" s="5">
        <f t="shared" si="12"/>
        <v>2.9152140000000002</v>
      </c>
      <c r="N576" s="4">
        <f t="shared" si="13"/>
        <v>8.4872940000000003</v>
      </c>
      <c r="O576" s="4">
        <f t="shared" si="14"/>
        <v>-0.53270599999999924</v>
      </c>
    </row>
    <row r="577" spans="1:15" ht="22.5" customHeight="1" x14ac:dyDescent="0.25">
      <c r="A577" s="2" t="s">
        <v>29</v>
      </c>
      <c r="B577" s="2" t="s">
        <v>31</v>
      </c>
      <c r="C577" s="3">
        <v>45992</v>
      </c>
      <c r="D577" s="3">
        <v>45669</v>
      </c>
      <c r="E577" s="2">
        <v>6703</v>
      </c>
      <c r="F577" s="2">
        <v>416</v>
      </c>
      <c r="G577" s="2">
        <v>4.04</v>
      </c>
      <c r="H577" s="6" t="s">
        <v>17</v>
      </c>
      <c r="I577" s="2">
        <v>610</v>
      </c>
      <c r="J577" s="2">
        <v>9.1300000000000008</v>
      </c>
      <c r="K577" s="4">
        <f t="shared" si="10"/>
        <v>0.96096000000000004</v>
      </c>
      <c r="L577" s="4">
        <f t="shared" si="11"/>
        <v>3.0163500000000001</v>
      </c>
      <c r="M577" s="5">
        <f t="shared" si="12"/>
        <v>7.3931999999999998E-2</v>
      </c>
      <c r="N577" s="4">
        <f t="shared" si="13"/>
        <v>4.0512420000000002</v>
      </c>
      <c r="O577" s="4">
        <f t="shared" si="14"/>
        <v>-5.0787580000000005</v>
      </c>
    </row>
  </sheetData>
  <dataValidations count="2">
    <dataValidation type="custom" allowBlank="1" showDropDown="1" sqref="C2:D577" xr:uid="{00000000-0002-0000-0000-000000000000}">
      <formula1>OR(NOT(ISERROR(DATEVALUE(C2))), AND(ISNUMBER(C2), LEFT(CELL("format", C2))="D"))</formula1>
    </dataValidation>
    <dataValidation type="custom" allowBlank="1" showDropDown="1" sqref="K2:M577" xr:uid="{00000000-0002-0000-0000-000001000000}">
      <formula1>AND(ISNUMBER(K2),(NOT(OR(NOT(ISERROR(DATEVALUE(K2))), AND(ISNUMBER(K2), LEFT(CELL("format", K2))="D")))))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D4E43-07D4-48E7-8A66-9F0FC64B8947}">
  <dimension ref="A1:I577"/>
  <sheetViews>
    <sheetView workbookViewId="0">
      <selection activeCell="O13" sqref="O13"/>
    </sheetView>
  </sheetViews>
  <sheetFormatPr defaultRowHeight="13.2" x14ac:dyDescent="0.25"/>
  <cols>
    <col min="9" max="9" width="29.6640625" customWidth="1"/>
  </cols>
  <sheetData>
    <row r="1" spans="1:9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25">
      <c r="A2" s="2" t="s">
        <v>15</v>
      </c>
      <c r="B2" s="2" t="s">
        <v>16</v>
      </c>
      <c r="C2" s="3">
        <v>43831</v>
      </c>
      <c r="D2" s="2">
        <v>4155</v>
      </c>
      <c r="E2" s="2">
        <v>366</v>
      </c>
      <c r="F2" s="2">
        <v>2.67</v>
      </c>
      <c r="G2" s="2" t="s">
        <v>17</v>
      </c>
      <c r="H2" s="2">
        <v>916</v>
      </c>
      <c r="I2" s="2">
        <v>3.5</v>
      </c>
    </row>
    <row r="3" spans="1:9" x14ac:dyDescent="0.25">
      <c r="A3" s="2" t="s">
        <v>15</v>
      </c>
      <c r="B3" s="2" t="s">
        <v>16</v>
      </c>
      <c r="C3" s="3">
        <v>43832</v>
      </c>
      <c r="D3" s="2">
        <v>8064</v>
      </c>
      <c r="E3" s="2">
        <v>718</v>
      </c>
      <c r="F3" s="2">
        <v>6.59</v>
      </c>
      <c r="G3" s="2" t="s">
        <v>18</v>
      </c>
      <c r="H3" s="2">
        <v>592</v>
      </c>
      <c r="I3" s="2">
        <v>2.83</v>
      </c>
    </row>
    <row r="4" spans="1:9" x14ac:dyDescent="0.25">
      <c r="A4" s="2" t="s">
        <v>19</v>
      </c>
      <c r="B4" s="2" t="s">
        <v>16</v>
      </c>
      <c r="C4" s="3">
        <v>43833</v>
      </c>
      <c r="D4" s="2">
        <v>6278</v>
      </c>
      <c r="E4" s="2">
        <v>624</v>
      </c>
      <c r="F4" s="2">
        <v>7.75</v>
      </c>
      <c r="G4" s="2" t="s">
        <v>20</v>
      </c>
      <c r="H4" s="2">
        <v>81</v>
      </c>
      <c r="I4" s="2">
        <v>8.83</v>
      </c>
    </row>
    <row r="5" spans="1:9" x14ac:dyDescent="0.25">
      <c r="A5" s="2" t="s">
        <v>19</v>
      </c>
      <c r="B5" s="2" t="s">
        <v>16</v>
      </c>
      <c r="C5" s="3">
        <v>43834</v>
      </c>
      <c r="D5" s="2">
        <v>8027</v>
      </c>
      <c r="E5" s="2">
        <v>788</v>
      </c>
      <c r="F5" s="2">
        <v>8.8800000000000008</v>
      </c>
      <c r="G5" s="2" t="s">
        <v>17</v>
      </c>
      <c r="H5" s="2">
        <v>266</v>
      </c>
      <c r="I5" s="2">
        <v>7.03</v>
      </c>
    </row>
    <row r="6" spans="1:9" x14ac:dyDescent="0.25">
      <c r="A6" s="2" t="s">
        <v>19</v>
      </c>
      <c r="B6" s="2" t="s">
        <v>16</v>
      </c>
      <c r="C6" s="3">
        <v>43835</v>
      </c>
      <c r="D6" s="2">
        <v>3562</v>
      </c>
      <c r="E6" s="2">
        <v>1016</v>
      </c>
      <c r="F6" s="2">
        <v>6.78</v>
      </c>
      <c r="G6" s="2" t="s">
        <v>17</v>
      </c>
      <c r="H6" s="2">
        <v>206</v>
      </c>
      <c r="I6" s="2">
        <v>8.58</v>
      </c>
    </row>
    <row r="7" spans="1:9" x14ac:dyDescent="0.25">
      <c r="A7" s="2" t="s">
        <v>19</v>
      </c>
      <c r="B7" s="2" t="s">
        <v>16</v>
      </c>
      <c r="C7" s="3">
        <v>43836</v>
      </c>
      <c r="D7" s="2">
        <v>5795</v>
      </c>
      <c r="E7" s="2">
        <v>313</v>
      </c>
      <c r="F7" s="2">
        <v>9.4499999999999993</v>
      </c>
      <c r="G7" s="2" t="s">
        <v>17</v>
      </c>
      <c r="H7" s="2">
        <v>397</v>
      </c>
      <c r="I7" s="2">
        <v>1.74</v>
      </c>
    </row>
    <row r="8" spans="1:9" x14ac:dyDescent="0.25">
      <c r="A8" s="2" t="s">
        <v>19</v>
      </c>
      <c r="B8" s="2" t="s">
        <v>16</v>
      </c>
      <c r="C8" s="3">
        <v>43837</v>
      </c>
      <c r="D8" s="2">
        <v>6042</v>
      </c>
      <c r="E8" s="2">
        <v>1116</v>
      </c>
      <c r="F8" s="2">
        <v>6.8</v>
      </c>
      <c r="G8" s="2" t="s">
        <v>17</v>
      </c>
      <c r="H8" s="2">
        <v>209</v>
      </c>
      <c r="I8" s="2">
        <v>4.7300000000000004</v>
      </c>
    </row>
    <row r="9" spans="1:9" x14ac:dyDescent="0.25">
      <c r="A9" s="2" t="s">
        <v>19</v>
      </c>
      <c r="B9" s="2" t="s">
        <v>16</v>
      </c>
      <c r="C9" s="3">
        <v>43838</v>
      </c>
      <c r="D9" s="2">
        <v>7446</v>
      </c>
      <c r="E9" s="2">
        <v>978</v>
      </c>
      <c r="F9" s="2">
        <v>1.42</v>
      </c>
      <c r="G9" s="2" t="s">
        <v>21</v>
      </c>
      <c r="H9" s="2">
        <v>125</v>
      </c>
      <c r="I9" s="2">
        <v>0.55000000000000004</v>
      </c>
    </row>
    <row r="10" spans="1:9" x14ac:dyDescent="0.25">
      <c r="A10" s="2" t="s">
        <v>19</v>
      </c>
      <c r="B10" s="2" t="s">
        <v>16</v>
      </c>
      <c r="C10" s="3">
        <v>43839</v>
      </c>
      <c r="D10" s="2">
        <v>9496</v>
      </c>
      <c r="E10" s="2">
        <v>830</v>
      </c>
      <c r="F10" s="2">
        <v>2.12</v>
      </c>
      <c r="G10" s="2" t="s">
        <v>20</v>
      </c>
      <c r="H10" s="2">
        <v>495</v>
      </c>
      <c r="I10" s="2">
        <v>1.1299999999999999</v>
      </c>
    </row>
    <row r="11" spans="1:9" x14ac:dyDescent="0.25">
      <c r="A11" s="2" t="s">
        <v>19</v>
      </c>
      <c r="B11" s="2" t="s">
        <v>16</v>
      </c>
      <c r="C11" s="3">
        <v>43840</v>
      </c>
      <c r="D11" s="2">
        <v>6985</v>
      </c>
      <c r="E11" s="2">
        <v>878</v>
      </c>
      <c r="F11" s="2">
        <v>7.21</v>
      </c>
      <c r="G11" s="2" t="s">
        <v>20</v>
      </c>
      <c r="H11" s="2">
        <v>72</v>
      </c>
      <c r="I11" s="2">
        <v>7.95</v>
      </c>
    </row>
    <row r="12" spans="1:9" x14ac:dyDescent="0.25">
      <c r="A12" s="2" t="s">
        <v>19</v>
      </c>
      <c r="B12" s="2" t="s">
        <v>16</v>
      </c>
      <c r="C12" s="3">
        <v>43841</v>
      </c>
      <c r="D12" s="2">
        <v>7395</v>
      </c>
      <c r="E12" s="2">
        <v>222</v>
      </c>
      <c r="F12" s="2">
        <v>9.8699999999999992</v>
      </c>
      <c r="G12" s="2" t="s">
        <v>18</v>
      </c>
      <c r="H12" s="2">
        <v>166</v>
      </c>
      <c r="I12" s="2">
        <v>1.06</v>
      </c>
    </row>
    <row r="13" spans="1:9" x14ac:dyDescent="0.25">
      <c r="A13" s="2" t="s">
        <v>19</v>
      </c>
      <c r="B13" s="2" t="s">
        <v>16</v>
      </c>
      <c r="C13" s="3">
        <v>43842</v>
      </c>
      <c r="D13" s="2">
        <v>6906</v>
      </c>
      <c r="E13" s="2">
        <v>875</v>
      </c>
      <c r="F13" s="2">
        <v>6.8</v>
      </c>
      <c r="G13" s="2" t="s">
        <v>20</v>
      </c>
      <c r="H13" s="2">
        <v>513</v>
      </c>
      <c r="I13" s="2">
        <v>6.1</v>
      </c>
    </row>
    <row r="14" spans="1:9" x14ac:dyDescent="0.25">
      <c r="A14" s="2" t="s">
        <v>19</v>
      </c>
      <c r="B14" s="2" t="s">
        <v>16</v>
      </c>
      <c r="C14" s="3">
        <v>44197</v>
      </c>
      <c r="D14" s="2">
        <v>5353</v>
      </c>
      <c r="E14" s="2">
        <v>875</v>
      </c>
      <c r="F14" s="2">
        <v>8.43</v>
      </c>
      <c r="G14" s="2" t="s">
        <v>18</v>
      </c>
      <c r="H14" s="2">
        <v>274</v>
      </c>
      <c r="I14" s="2">
        <v>0.27</v>
      </c>
    </row>
    <row r="15" spans="1:9" x14ac:dyDescent="0.25">
      <c r="A15" s="2" t="s">
        <v>19</v>
      </c>
      <c r="B15" s="2" t="s">
        <v>16</v>
      </c>
      <c r="C15" s="3">
        <v>44198</v>
      </c>
      <c r="D15" s="2">
        <v>6457</v>
      </c>
      <c r="E15" s="2">
        <v>801</v>
      </c>
      <c r="F15" s="2">
        <v>2.98</v>
      </c>
      <c r="G15" s="2" t="s">
        <v>20</v>
      </c>
      <c r="H15" s="2">
        <v>172</v>
      </c>
      <c r="I15" s="2">
        <v>2.3199999999999998</v>
      </c>
    </row>
    <row r="16" spans="1:9" x14ac:dyDescent="0.25">
      <c r="A16" s="2" t="s">
        <v>19</v>
      </c>
      <c r="B16" s="2" t="s">
        <v>16</v>
      </c>
      <c r="C16" s="3">
        <v>44199</v>
      </c>
      <c r="D16" s="2">
        <v>7099</v>
      </c>
      <c r="E16" s="2">
        <v>887</v>
      </c>
      <c r="F16" s="2">
        <v>7.83</v>
      </c>
      <c r="G16" s="2" t="s">
        <v>18</v>
      </c>
      <c r="H16" s="2">
        <v>123</v>
      </c>
      <c r="I16" s="2">
        <v>2.91</v>
      </c>
    </row>
    <row r="17" spans="1:9" x14ac:dyDescent="0.25">
      <c r="A17" s="2" t="s">
        <v>19</v>
      </c>
      <c r="B17" s="2" t="s">
        <v>16</v>
      </c>
      <c r="C17" s="3">
        <v>44200</v>
      </c>
      <c r="D17" s="2">
        <v>6531</v>
      </c>
      <c r="E17" s="2">
        <v>300</v>
      </c>
      <c r="F17" s="2">
        <v>3.49</v>
      </c>
      <c r="G17" s="2" t="s">
        <v>17</v>
      </c>
      <c r="H17" s="2">
        <v>294</v>
      </c>
      <c r="I17" s="2">
        <v>8.1199999999999992</v>
      </c>
    </row>
    <row r="18" spans="1:9" x14ac:dyDescent="0.25">
      <c r="A18" s="2" t="s">
        <v>19</v>
      </c>
      <c r="B18" s="2" t="s">
        <v>16</v>
      </c>
      <c r="C18" s="3">
        <v>44201</v>
      </c>
      <c r="D18" s="2">
        <v>5769</v>
      </c>
      <c r="E18" s="2">
        <v>243</v>
      </c>
      <c r="F18" s="2">
        <v>2.82</v>
      </c>
      <c r="G18" s="2" t="s">
        <v>17</v>
      </c>
      <c r="H18" s="2">
        <v>242</v>
      </c>
      <c r="I18" s="2">
        <v>9.24</v>
      </c>
    </row>
    <row r="19" spans="1:9" x14ac:dyDescent="0.25">
      <c r="A19" s="2" t="s">
        <v>19</v>
      </c>
      <c r="B19" s="2" t="s">
        <v>16</v>
      </c>
      <c r="C19" s="3">
        <v>44202</v>
      </c>
      <c r="D19" s="2">
        <v>8098</v>
      </c>
      <c r="E19" s="2">
        <v>328</v>
      </c>
      <c r="F19" s="2">
        <v>2.58</v>
      </c>
      <c r="G19" s="2" t="s">
        <v>20</v>
      </c>
      <c r="H19" s="2">
        <v>371</v>
      </c>
      <c r="I19" s="2">
        <v>9.2799999999999994</v>
      </c>
    </row>
    <row r="20" spans="1:9" x14ac:dyDescent="0.25">
      <c r="A20" s="2" t="s">
        <v>19</v>
      </c>
      <c r="B20" s="2" t="s">
        <v>16</v>
      </c>
      <c r="C20" s="3">
        <v>44203</v>
      </c>
      <c r="D20" s="2">
        <v>6371</v>
      </c>
      <c r="E20" s="2">
        <v>596</v>
      </c>
      <c r="F20" s="2">
        <v>8.48</v>
      </c>
      <c r="G20" s="2" t="s">
        <v>17</v>
      </c>
      <c r="H20" s="2">
        <v>937</v>
      </c>
      <c r="I20" s="2">
        <v>1.55</v>
      </c>
    </row>
    <row r="21" spans="1:9" x14ac:dyDescent="0.25">
      <c r="A21" s="2" t="s">
        <v>19</v>
      </c>
      <c r="B21" s="2" t="s">
        <v>16</v>
      </c>
      <c r="C21" s="3">
        <v>44204</v>
      </c>
      <c r="D21" s="2">
        <v>9023</v>
      </c>
      <c r="E21" s="2">
        <v>224</v>
      </c>
      <c r="F21" s="2">
        <v>1.38</v>
      </c>
      <c r="G21" s="2" t="s">
        <v>17</v>
      </c>
      <c r="H21" s="2">
        <v>976</v>
      </c>
      <c r="I21" s="2">
        <v>5.96</v>
      </c>
    </row>
    <row r="22" spans="1:9" x14ac:dyDescent="0.25">
      <c r="A22" s="2" t="s">
        <v>19</v>
      </c>
      <c r="B22" s="2" t="s">
        <v>16</v>
      </c>
      <c r="C22" s="3">
        <v>44205</v>
      </c>
      <c r="D22" s="2">
        <v>8773</v>
      </c>
      <c r="E22" s="2">
        <v>967</v>
      </c>
      <c r="F22" s="2">
        <v>4.49</v>
      </c>
      <c r="G22" s="2" t="s">
        <v>18</v>
      </c>
      <c r="H22" s="2">
        <v>277</v>
      </c>
      <c r="I22" s="2">
        <v>6.47</v>
      </c>
    </row>
    <row r="23" spans="1:9" x14ac:dyDescent="0.25">
      <c r="A23" s="2" t="s">
        <v>19</v>
      </c>
      <c r="B23" s="2" t="s">
        <v>16</v>
      </c>
      <c r="C23" s="3">
        <v>44206</v>
      </c>
      <c r="D23" s="2">
        <v>8401</v>
      </c>
      <c r="E23" s="2">
        <v>443</v>
      </c>
      <c r="F23" s="2">
        <v>7.32</v>
      </c>
      <c r="G23" s="2" t="s">
        <v>18</v>
      </c>
      <c r="H23" s="2">
        <v>497</v>
      </c>
      <c r="I23" s="2">
        <v>5.28</v>
      </c>
    </row>
    <row r="24" spans="1:9" x14ac:dyDescent="0.25">
      <c r="A24" s="2" t="s">
        <v>19</v>
      </c>
      <c r="B24" s="2" t="s">
        <v>16</v>
      </c>
      <c r="C24" s="3">
        <v>44207</v>
      </c>
      <c r="D24" s="2">
        <v>5251</v>
      </c>
      <c r="E24" s="2">
        <v>1145</v>
      </c>
      <c r="F24" s="2">
        <v>1.66</v>
      </c>
      <c r="G24" s="2" t="s">
        <v>20</v>
      </c>
      <c r="H24" s="2">
        <v>568</v>
      </c>
      <c r="I24" s="2">
        <v>8.5399999999999991</v>
      </c>
    </row>
    <row r="25" spans="1:9" x14ac:dyDescent="0.25">
      <c r="A25" s="2" t="s">
        <v>19</v>
      </c>
      <c r="B25" s="2" t="s">
        <v>16</v>
      </c>
      <c r="C25" s="3">
        <v>44208</v>
      </c>
      <c r="D25" s="2">
        <v>5105</v>
      </c>
      <c r="E25" s="2">
        <v>846</v>
      </c>
      <c r="F25" s="2">
        <v>4.66</v>
      </c>
      <c r="G25" s="2" t="s">
        <v>18</v>
      </c>
      <c r="H25" s="2">
        <v>287</v>
      </c>
      <c r="I25" s="2">
        <v>8.48</v>
      </c>
    </row>
    <row r="26" spans="1:9" x14ac:dyDescent="0.25">
      <c r="A26" s="2" t="s">
        <v>19</v>
      </c>
      <c r="B26" s="2" t="s">
        <v>16</v>
      </c>
      <c r="C26" s="3">
        <v>44562</v>
      </c>
      <c r="D26" s="2">
        <v>7542</v>
      </c>
      <c r="E26" s="2">
        <v>576</v>
      </c>
      <c r="F26" s="2">
        <v>8.0299999999999994</v>
      </c>
      <c r="G26" s="2" t="s">
        <v>20</v>
      </c>
      <c r="H26" s="2">
        <v>152</v>
      </c>
      <c r="I26" s="2">
        <v>5.27</v>
      </c>
    </row>
    <row r="27" spans="1:9" x14ac:dyDescent="0.25">
      <c r="A27" s="2" t="s">
        <v>19</v>
      </c>
      <c r="B27" s="2" t="s">
        <v>16</v>
      </c>
      <c r="C27" s="3">
        <v>44563</v>
      </c>
      <c r="D27" s="2">
        <v>7840</v>
      </c>
      <c r="E27" s="2">
        <v>261</v>
      </c>
      <c r="F27" s="2">
        <v>9.31</v>
      </c>
      <c r="G27" s="2" t="s">
        <v>20</v>
      </c>
      <c r="H27" s="2">
        <v>874</v>
      </c>
      <c r="I27" s="2">
        <v>3.03</v>
      </c>
    </row>
    <row r="28" spans="1:9" x14ac:dyDescent="0.25">
      <c r="A28" s="2" t="s">
        <v>19</v>
      </c>
      <c r="B28" s="2" t="s">
        <v>16</v>
      </c>
      <c r="C28" s="3">
        <v>44564</v>
      </c>
      <c r="D28" s="2">
        <v>3432</v>
      </c>
      <c r="E28" s="2">
        <v>572</v>
      </c>
      <c r="F28" s="2">
        <v>4.74</v>
      </c>
      <c r="G28" s="2" t="s">
        <v>18</v>
      </c>
      <c r="H28" s="2">
        <v>429</v>
      </c>
      <c r="I28" s="2">
        <v>9.02</v>
      </c>
    </row>
    <row r="29" spans="1:9" x14ac:dyDescent="0.25">
      <c r="A29" s="2" t="s">
        <v>19</v>
      </c>
      <c r="B29" s="2" t="s">
        <v>16</v>
      </c>
      <c r="C29" s="3">
        <v>44565</v>
      </c>
      <c r="D29" s="2">
        <v>9937</v>
      </c>
      <c r="E29" s="2">
        <v>371</v>
      </c>
      <c r="F29" s="2">
        <v>4.08</v>
      </c>
      <c r="G29" s="2" t="s">
        <v>17</v>
      </c>
      <c r="H29" s="2">
        <v>305</v>
      </c>
      <c r="I29" s="2">
        <v>0.31</v>
      </c>
    </row>
    <row r="30" spans="1:9" x14ac:dyDescent="0.25">
      <c r="A30" s="2" t="s">
        <v>19</v>
      </c>
      <c r="B30" s="2" t="s">
        <v>16</v>
      </c>
      <c r="C30" s="3">
        <v>44566</v>
      </c>
      <c r="D30" s="2">
        <v>6780</v>
      </c>
      <c r="E30" s="2">
        <v>1062</v>
      </c>
      <c r="F30" s="2">
        <v>5.56</v>
      </c>
      <c r="G30" s="2" t="s">
        <v>17</v>
      </c>
      <c r="H30" s="2">
        <v>722</v>
      </c>
      <c r="I30" s="2">
        <v>3.55</v>
      </c>
    </row>
    <row r="31" spans="1:9" x14ac:dyDescent="0.25">
      <c r="A31" s="2" t="s">
        <v>19</v>
      </c>
      <c r="B31" s="2" t="s">
        <v>16</v>
      </c>
      <c r="C31" s="3">
        <v>44567</v>
      </c>
      <c r="D31" s="2">
        <v>4036</v>
      </c>
      <c r="E31" s="2">
        <v>326</v>
      </c>
      <c r="F31" s="2">
        <v>6.75</v>
      </c>
      <c r="G31" s="2" t="s">
        <v>17</v>
      </c>
      <c r="H31" s="2">
        <v>293</v>
      </c>
      <c r="I31" s="2">
        <v>8.36</v>
      </c>
    </row>
    <row r="32" spans="1:9" x14ac:dyDescent="0.25">
      <c r="A32" s="2" t="s">
        <v>19</v>
      </c>
      <c r="B32" s="2" t="s">
        <v>16</v>
      </c>
      <c r="C32" s="3">
        <v>44568</v>
      </c>
      <c r="D32" s="2">
        <v>3758</v>
      </c>
      <c r="E32" s="2">
        <v>865</v>
      </c>
      <c r="F32" s="2">
        <v>4.5</v>
      </c>
      <c r="G32" s="2" t="s">
        <v>17</v>
      </c>
      <c r="H32" s="2">
        <v>347</v>
      </c>
      <c r="I32" s="2">
        <v>2.77</v>
      </c>
    </row>
    <row r="33" spans="1:9" x14ac:dyDescent="0.25">
      <c r="A33" s="2" t="s">
        <v>19</v>
      </c>
      <c r="B33" s="2" t="s">
        <v>16</v>
      </c>
      <c r="C33" s="3">
        <v>44569</v>
      </c>
      <c r="D33" s="2">
        <v>4918</v>
      </c>
      <c r="E33" s="2">
        <v>432</v>
      </c>
      <c r="F33" s="2">
        <v>8.0299999999999994</v>
      </c>
      <c r="G33" s="2" t="s">
        <v>21</v>
      </c>
      <c r="H33" s="2">
        <v>460</v>
      </c>
      <c r="I33" s="2">
        <v>9.39</v>
      </c>
    </row>
    <row r="34" spans="1:9" x14ac:dyDescent="0.25">
      <c r="A34" s="2" t="s">
        <v>19</v>
      </c>
      <c r="B34" s="2" t="s">
        <v>16</v>
      </c>
      <c r="C34" s="3">
        <v>44570</v>
      </c>
      <c r="D34" s="2">
        <v>3457</v>
      </c>
      <c r="E34" s="2">
        <v>404</v>
      </c>
      <c r="F34" s="2">
        <v>1.49</v>
      </c>
      <c r="G34" s="2" t="s">
        <v>18</v>
      </c>
      <c r="H34" s="2">
        <v>453</v>
      </c>
      <c r="I34" s="2">
        <v>1.0900000000000001</v>
      </c>
    </row>
    <row r="35" spans="1:9" x14ac:dyDescent="0.25">
      <c r="A35" s="2" t="s">
        <v>19</v>
      </c>
      <c r="B35" s="2" t="s">
        <v>16</v>
      </c>
      <c r="C35" s="3">
        <v>44571</v>
      </c>
      <c r="D35" s="2">
        <v>3996</v>
      </c>
      <c r="E35" s="2">
        <v>425</v>
      </c>
      <c r="F35" s="2">
        <v>8.19</v>
      </c>
      <c r="G35" s="2" t="s">
        <v>21</v>
      </c>
      <c r="H35" s="2">
        <v>191</v>
      </c>
      <c r="I35" s="2">
        <v>5.46</v>
      </c>
    </row>
    <row r="36" spans="1:9" x14ac:dyDescent="0.25">
      <c r="A36" s="2" t="s">
        <v>19</v>
      </c>
      <c r="B36" s="2" t="s">
        <v>16</v>
      </c>
      <c r="C36" s="3">
        <v>44572</v>
      </c>
      <c r="D36" s="2">
        <v>9545</v>
      </c>
      <c r="E36" s="2">
        <v>413</v>
      </c>
      <c r="F36" s="2">
        <v>1.8</v>
      </c>
      <c r="G36" s="2" t="s">
        <v>20</v>
      </c>
      <c r="H36" s="2">
        <v>110</v>
      </c>
      <c r="I36" s="2">
        <v>0.05</v>
      </c>
    </row>
    <row r="37" spans="1:9" x14ac:dyDescent="0.25">
      <c r="A37" s="2" t="s">
        <v>19</v>
      </c>
      <c r="B37" s="2" t="s">
        <v>16</v>
      </c>
      <c r="C37" s="3">
        <v>44573</v>
      </c>
      <c r="D37" s="2">
        <v>3129</v>
      </c>
      <c r="E37" s="2">
        <v>517</v>
      </c>
      <c r="F37" s="2">
        <v>2.96</v>
      </c>
      <c r="G37" s="2" t="s">
        <v>18</v>
      </c>
      <c r="H37" s="2">
        <v>396</v>
      </c>
      <c r="I37" s="2">
        <v>5.44</v>
      </c>
    </row>
    <row r="38" spans="1:9" x14ac:dyDescent="0.25">
      <c r="A38" s="2" t="s">
        <v>19</v>
      </c>
      <c r="B38" s="2" t="s">
        <v>16</v>
      </c>
      <c r="C38" s="3">
        <v>44927</v>
      </c>
      <c r="D38" s="2">
        <v>4123</v>
      </c>
      <c r="E38" s="2">
        <v>667</v>
      </c>
      <c r="F38" s="2">
        <v>8.7100000000000009</v>
      </c>
      <c r="G38" s="2" t="s">
        <v>17</v>
      </c>
      <c r="H38" s="2">
        <v>540</v>
      </c>
      <c r="I38" s="2">
        <v>5.39</v>
      </c>
    </row>
    <row r="39" spans="1:9" x14ac:dyDescent="0.25">
      <c r="A39" s="2" t="s">
        <v>19</v>
      </c>
      <c r="B39" s="2" t="s">
        <v>16</v>
      </c>
      <c r="C39" s="3">
        <v>44928</v>
      </c>
      <c r="D39" s="2">
        <v>4289</v>
      </c>
      <c r="E39" s="2">
        <v>598</v>
      </c>
      <c r="F39" s="2">
        <v>1.9</v>
      </c>
      <c r="G39" s="2" t="s">
        <v>21</v>
      </c>
      <c r="H39" s="2">
        <v>135</v>
      </c>
      <c r="I39" s="2">
        <v>3.66</v>
      </c>
    </row>
    <row r="40" spans="1:9" x14ac:dyDescent="0.25">
      <c r="A40" s="2" t="s">
        <v>19</v>
      </c>
      <c r="B40" s="2" t="s">
        <v>16</v>
      </c>
      <c r="C40" s="3">
        <v>44929</v>
      </c>
      <c r="D40" s="2">
        <v>8751</v>
      </c>
      <c r="E40" s="2">
        <v>1073</v>
      </c>
      <c r="F40" s="2">
        <v>4.8</v>
      </c>
      <c r="G40" s="2" t="s">
        <v>20</v>
      </c>
      <c r="H40" s="2">
        <v>173</v>
      </c>
      <c r="I40" s="2">
        <v>9.14</v>
      </c>
    </row>
    <row r="41" spans="1:9" x14ac:dyDescent="0.25">
      <c r="A41" s="2" t="s">
        <v>19</v>
      </c>
      <c r="B41" s="2" t="s">
        <v>16</v>
      </c>
      <c r="C41" s="3">
        <v>44930</v>
      </c>
      <c r="D41" s="2">
        <v>6092</v>
      </c>
      <c r="E41" s="2">
        <v>324</v>
      </c>
      <c r="F41" s="2">
        <v>3.68</v>
      </c>
      <c r="G41" s="2" t="s">
        <v>18</v>
      </c>
      <c r="H41" s="2">
        <v>430</v>
      </c>
      <c r="I41" s="2">
        <v>6.07</v>
      </c>
    </row>
    <row r="42" spans="1:9" x14ac:dyDescent="0.25">
      <c r="A42" s="2" t="s">
        <v>19</v>
      </c>
      <c r="B42" s="2" t="s">
        <v>16</v>
      </c>
      <c r="C42" s="3">
        <v>44931</v>
      </c>
      <c r="D42" s="2">
        <v>8678</v>
      </c>
      <c r="E42" s="2">
        <v>523</v>
      </c>
      <c r="F42" s="2">
        <v>9.24</v>
      </c>
      <c r="G42" s="2" t="s">
        <v>20</v>
      </c>
      <c r="H42" s="2">
        <v>335</v>
      </c>
      <c r="I42" s="2">
        <v>6.89</v>
      </c>
    </row>
    <row r="43" spans="1:9" x14ac:dyDescent="0.25">
      <c r="A43" s="2" t="s">
        <v>19</v>
      </c>
      <c r="B43" s="2" t="s">
        <v>16</v>
      </c>
      <c r="C43" s="3">
        <v>44932</v>
      </c>
      <c r="D43" s="2">
        <v>7389</v>
      </c>
      <c r="E43" s="2">
        <v>378</v>
      </c>
      <c r="F43" s="2">
        <v>2</v>
      </c>
      <c r="G43" s="2" t="s">
        <v>18</v>
      </c>
      <c r="H43" s="2">
        <v>916</v>
      </c>
      <c r="I43" s="2">
        <v>3.44</v>
      </c>
    </row>
    <row r="44" spans="1:9" x14ac:dyDescent="0.25">
      <c r="A44" s="2" t="s">
        <v>19</v>
      </c>
      <c r="B44" s="2" t="s">
        <v>16</v>
      </c>
      <c r="C44" s="3">
        <v>44933</v>
      </c>
      <c r="D44" s="2">
        <v>9612</v>
      </c>
      <c r="E44" s="2">
        <v>1166</v>
      </c>
      <c r="F44" s="2">
        <v>6.85</v>
      </c>
      <c r="G44" s="2" t="s">
        <v>18</v>
      </c>
      <c r="H44" s="2">
        <v>883</v>
      </c>
      <c r="I44" s="2">
        <v>7.68</v>
      </c>
    </row>
    <row r="45" spans="1:9" x14ac:dyDescent="0.25">
      <c r="A45" s="2" t="s">
        <v>19</v>
      </c>
      <c r="B45" s="2" t="s">
        <v>16</v>
      </c>
      <c r="C45" s="3">
        <v>44934</v>
      </c>
      <c r="D45" s="2">
        <v>5474</v>
      </c>
      <c r="E45" s="2">
        <v>1078</v>
      </c>
      <c r="F45" s="2">
        <v>5.29</v>
      </c>
      <c r="G45" s="2" t="s">
        <v>18</v>
      </c>
      <c r="H45" s="2">
        <v>954</v>
      </c>
      <c r="I45" s="2">
        <v>8.7799999999999994</v>
      </c>
    </row>
    <row r="46" spans="1:9" x14ac:dyDescent="0.25">
      <c r="A46" s="2" t="s">
        <v>19</v>
      </c>
      <c r="B46" s="2" t="s">
        <v>16</v>
      </c>
      <c r="C46" s="3">
        <v>44935</v>
      </c>
      <c r="D46" s="2">
        <v>5339</v>
      </c>
      <c r="E46" s="2">
        <v>742</v>
      </c>
      <c r="F46" s="2">
        <v>5.67</v>
      </c>
      <c r="G46" s="2" t="s">
        <v>20</v>
      </c>
      <c r="H46" s="2">
        <v>555</v>
      </c>
      <c r="I46" s="2">
        <v>3.24</v>
      </c>
    </row>
    <row r="47" spans="1:9" x14ac:dyDescent="0.25">
      <c r="A47" s="2" t="s">
        <v>19</v>
      </c>
      <c r="B47" s="2" t="s">
        <v>16</v>
      </c>
      <c r="C47" s="3">
        <v>44936</v>
      </c>
      <c r="D47" s="2">
        <v>5967</v>
      </c>
      <c r="E47" s="2">
        <v>1168</v>
      </c>
      <c r="F47" s="2">
        <v>7.69</v>
      </c>
      <c r="G47" s="2" t="s">
        <v>17</v>
      </c>
      <c r="H47" s="2">
        <v>825</v>
      </c>
      <c r="I47" s="2">
        <v>3.27</v>
      </c>
    </row>
    <row r="48" spans="1:9" x14ac:dyDescent="0.25">
      <c r="A48" s="2" t="s">
        <v>19</v>
      </c>
      <c r="B48" s="2" t="s">
        <v>16</v>
      </c>
      <c r="C48" s="3">
        <v>44937</v>
      </c>
      <c r="D48" s="2">
        <v>6482</v>
      </c>
      <c r="E48" s="2">
        <v>776</v>
      </c>
      <c r="F48" s="2">
        <v>5.8</v>
      </c>
      <c r="G48" s="2" t="s">
        <v>17</v>
      </c>
      <c r="H48" s="2">
        <v>553</v>
      </c>
      <c r="I48" s="2">
        <v>1.77</v>
      </c>
    </row>
    <row r="49" spans="1:9" x14ac:dyDescent="0.25">
      <c r="A49" s="2" t="s">
        <v>19</v>
      </c>
      <c r="B49" s="2" t="s">
        <v>16</v>
      </c>
      <c r="C49" s="3">
        <v>44938</v>
      </c>
      <c r="D49" s="2">
        <v>4434</v>
      </c>
      <c r="E49" s="2">
        <v>872</v>
      </c>
      <c r="F49" s="2">
        <v>4.57</v>
      </c>
      <c r="G49" s="2" t="s">
        <v>17</v>
      </c>
      <c r="H49" s="2">
        <v>937</v>
      </c>
      <c r="I49" s="2">
        <v>9.8800000000000008</v>
      </c>
    </row>
    <row r="50" spans="1:9" x14ac:dyDescent="0.25">
      <c r="A50" s="2" t="s">
        <v>19</v>
      </c>
      <c r="B50" s="2" t="s">
        <v>16</v>
      </c>
      <c r="C50" s="3">
        <v>45292</v>
      </c>
      <c r="D50" s="2">
        <v>7255</v>
      </c>
      <c r="E50" s="2">
        <v>379</v>
      </c>
      <c r="F50" s="2">
        <v>7.59</v>
      </c>
      <c r="G50" s="2" t="s">
        <v>17</v>
      </c>
      <c r="H50" s="2">
        <v>287</v>
      </c>
      <c r="I50" s="2">
        <v>8.61</v>
      </c>
    </row>
    <row r="51" spans="1:9" x14ac:dyDescent="0.25">
      <c r="A51" s="2" t="s">
        <v>19</v>
      </c>
      <c r="B51" s="2" t="s">
        <v>16</v>
      </c>
      <c r="C51" s="3">
        <v>45293</v>
      </c>
      <c r="D51" s="2">
        <v>9704</v>
      </c>
      <c r="E51" s="2">
        <v>1173</v>
      </c>
      <c r="F51" s="2">
        <v>6.04</v>
      </c>
      <c r="G51" s="2" t="s">
        <v>17</v>
      </c>
      <c r="H51" s="2">
        <v>321</v>
      </c>
      <c r="I51" s="2">
        <v>2.61</v>
      </c>
    </row>
    <row r="52" spans="1:9" x14ac:dyDescent="0.25">
      <c r="A52" s="2" t="s">
        <v>19</v>
      </c>
      <c r="B52" s="2" t="s">
        <v>16</v>
      </c>
      <c r="C52" s="3">
        <v>45294</v>
      </c>
      <c r="D52" s="2">
        <v>3746</v>
      </c>
      <c r="E52" s="2">
        <v>1047</v>
      </c>
      <c r="F52" s="2">
        <v>5.77</v>
      </c>
      <c r="G52" s="2" t="s">
        <v>21</v>
      </c>
      <c r="H52" s="2">
        <v>129</v>
      </c>
      <c r="I52" s="2">
        <v>3.32</v>
      </c>
    </row>
    <row r="53" spans="1:9" x14ac:dyDescent="0.25">
      <c r="A53" s="2" t="s">
        <v>19</v>
      </c>
      <c r="B53" s="2" t="s">
        <v>16</v>
      </c>
      <c r="C53" s="3">
        <v>45295</v>
      </c>
      <c r="D53" s="2">
        <v>9532</v>
      </c>
      <c r="E53" s="2">
        <v>306</v>
      </c>
      <c r="F53" s="2">
        <v>3.78</v>
      </c>
      <c r="G53" s="2" t="s">
        <v>18</v>
      </c>
      <c r="H53" s="2">
        <v>954</v>
      </c>
      <c r="I53" s="2">
        <v>9.2799999999999994</v>
      </c>
    </row>
    <row r="54" spans="1:9" x14ac:dyDescent="0.25">
      <c r="A54" s="2" t="s">
        <v>19</v>
      </c>
      <c r="B54" s="2" t="s">
        <v>16</v>
      </c>
      <c r="C54" s="3">
        <v>45296</v>
      </c>
      <c r="D54" s="2">
        <v>6546</v>
      </c>
      <c r="E54" s="2">
        <v>1057</v>
      </c>
      <c r="F54" s="2">
        <v>1.73</v>
      </c>
      <c r="G54" s="2" t="s">
        <v>20</v>
      </c>
      <c r="H54" s="2">
        <v>104</v>
      </c>
      <c r="I54" s="2">
        <v>3.11</v>
      </c>
    </row>
    <row r="55" spans="1:9" x14ac:dyDescent="0.25">
      <c r="A55" s="2" t="s">
        <v>19</v>
      </c>
      <c r="B55" s="2" t="s">
        <v>16</v>
      </c>
      <c r="C55" s="3">
        <v>45297</v>
      </c>
      <c r="D55" s="2">
        <v>5347</v>
      </c>
      <c r="E55" s="2">
        <v>1042</v>
      </c>
      <c r="F55" s="2">
        <v>4.58</v>
      </c>
      <c r="G55" s="2" t="s">
        <v>21</v>
      </c>
      <c r="H55" s="2">
        <v>696</v>
      </c>
      <c r="I55" s="2">
        <v>2.13</v>
      </c>
    </row>
    <row r="56" spans="1:9" x14ac:dyDescent="0.25">
      <c r="A56" s="2" t="s">
        <v>19</v>
      </c>
      <c r="B56" s="2" t="s">
        <v>16</v>
      </c>
      <c r="C56" s="3">
        <v>45298</v>
      </c>
      <c r="D56" s="2">
        <v>6683</v>
      </c>
      <c r="E56" s="2">
        <v>294</v>
      </c>
      <c r="F56" s="2">
        <v>3.03</v>
      </c>
      <c r="G56" s="2" t="s">
        <v>18</v>
      </c>
      <c r="H56" s="2">
        <v>698</v>
      </c>
      <c r="I56" s="2">
        <v>7.64</v>
      </c>
    </row>
    <row r="57" spans="1:9" x14ac:dyDescent="0.25">
      <c r="A57" s="2" t="s">
        <v>19</v>
      </c>
      <c r="B57" s="2" t="s">
        <v>16</v>
      </c>
      <c r="C57" s="3">
        <v>45299</v>
      </c>
      <c r="D57" s="2">
        <v>7217</v>
      </c>
      <c r="E57" s="2">
        <v>520</v>
      </c>
      <c r="F57" s="2">
        <v>8.94</v>
      </c>
      <c r="G57" s="2" t="s">
        <v>18</v>
      </c>
      <c r="H57" s="2">
        <v>491</v>
      </c>
      <c r="I57" s="2">
        <v>6.84</v>
      </c>
    </row>
    <row r="58" spans="1:9" x14ac:dyDescent="0.25">
      <c r="A58" s="2" t="s">
        <v>19</v>
      </c>
      <c r="B58" s="2" t="s">
        <v>16</v>
      </c>
      <c r="C58" s="3">
        <v>45300</v>
      </c>
      <c r="D58" s="2">
        <v>5054</v>
      </c>
      <c r="E58" s="2">
        <v>761</v>
      </c>
      <c r="F58" s="2">
        <v>5.86</v>
      </c>
      <c r="G58" s="2" t="s">
        <v>18</v>
      </c>
      <c r="H58" s="2">
        <v>667</v>
      </c>
      <c r="I58" s="2">
        <v>7.98</v>
      </c>
    </row>
    <row r="59" spans="1:9" x14ac:dyDescent="0.25">
      <c r="A59" s="2" t="s">
        <v>19</v>
      </c>
      <c r="B59" s="2" t="s">
        <v>16</v>
      </c>
      <c r="C59" s="3">
        <v>45301</v>
      </c>
      <c r="D59" s="2">
        <v>9893</v>
      </c>
      <c r="E59" s="2">
        <v>612</v>
      </c>
      <c r="F59" s="2">
        <v>4.72</v>
      </c>
      <c r="G59" s="2" t="s">
        <v>18</v>
      </c>
      <c r="H59" s="2">
        <v>773</v>
      </c>
      <c r="I59" s="2">
        <v>8.64</v>
      </c>
    </row>
    <row r="60" spans="1:9" x14ac:dyDescent="0.25">
      <c r="A60" s="2" t="s">
        <v>19</v>
      </c>
      <c r="B60" s="2" t="s">
        <v>16</v>
      </c>
      <c r="C60" s="3">
        <v>45302</v>
      </c>
      <c r="D60" s="2">
        <v>8180</v>
      </c>
      <c r="E60" s="2">
        <v>870</v>
      </c>
      <c r="F60" s="2">
        <v>4.72</v>
      </c>
      <c r="G60" s="2" t="s">
        <v>20</v>
      </c>
      <c r="H60" s="2">
        <v>876</v>
      </c>
      <c r="I60" s="2">
        <v>8.32</v>
      </c>
    </row>
    <row r="61" spans="1:9" x14ac:dyDescent="0.25">
      <c r="A61" s="2" t="s">
        <v>19</v>
      </c>
      <c r="B61" s="2" t="s">
        <v>16</v>
      </c>
      <c r="C61" s="3">
        <v>45303</v>
      </c>
      <c r="D61" s="2">
        <v>9828</v>
      </c>
      <c r="E61" s="2">
        <v>280</v>
      </c>
      <c r="F61" s="2">
        <v>9.35</v>
      </c>
      <c r="G61" s="2" t="s">
        <v>18</v>
      </c>
      <c r="H61" s="2">
        <v>90</v>
      </c>
      <c r="I61" s="2">
        <v>7.68</v>
      </c>
    </row>
    <row r="62" spans="1:9" x14ac:dyDescent="0.25">
      <c r="A62" s="2" t="s">
        <v>19</v>
      </c>
      <c r="B62" s="2" t="s">
        <v>16</v>
      </c>
      <c r="C62" s="3">
        <v>45658</v>
      </c>
      <c r="D62" s="2">
        <v>3453</v>
      </c>
      <c r="E62" s="2">
        <v>379</v>
      </c>
      <c r="F62" s="2">
        <v>7.26</v>
      </c>
      <c r="G62" s="2" t="s">
        <v>20</v>
      </c>
      <c r="H62" s="2">
        <v>786</v>
      </c>
      <c r="I62" s="2">
        <v>1.0900000000000001</v>
      </c>
    </row>
    <row r="63" spans="1:9" x14ac:dyDescent="0.25">
      <c r="A63" s="2" t="s">
        <v>19</v>
      </c>
      <c r="B63" s="2" t="s">
        <v>16</v>
      </c>
      <c r="C63" s="3">
        <v>45659</v>
      </c>
      <c r="D63" s="2">
        <v>4483</v>
      </c>
      <c r="E63" s="2">
        <v>1043</v>
      </c>
      <c r="F63" s="2">
        <v>8.27</v>
      </c>
      <c r="G63" s="2" t="s">
        <v>17</v>
      </c>
      <c r="H63" s="2">
        <v>824</v>
      </c>
      <c r="I63" s="2">
        <v>9.59</v>
      </c>
    </row>
    <row r="64" spans="1:9" x14ac:dyDescent="0.25">
      <c r="A64" s="2" t="s">
        <v>19</v>
      </c>
      <c r="B64" s="2" t="s">
        <v>16</v>
      </c>
      <c r="C64" s="3">
        <v>45660</v>
      </c>
      <c r="D64" s="2">
        <v>5919</v>
      </c>
      <c r="E64" s="2">
        <v>688</v>
      </c>
      <c r="F64" s="2">
        <v>6.73</v>
      </c>
      <c r="G64" s="2" t="s">
        <v>21</v>
      </c>
      <c r="H64" s="2">
        <v>715</v>
      </c>
      <c r="I64" s="2">
        <v>3.75</v>
      </c>
    </row>
    <row r="65" spans="1:9" x14ac:dyDescent="0.25">
      <c r="A65" s="2" t="s">
        <v>19</v>
      </c>
      <c r="B65" s="2" t="s">
        <v>16</v>
      </c>
      <c r="C65" s="3">
        <v>45661</v>
      </c>
      <c r="D65" s="2">
        <v>5275</v>
      </c>
      <c r="E65" s="2">
        <v>214</v>
      </c>
      <c r="F65" s="2">
        <v>3.88</v>
      </c>
      <c r="G65" s="2" t="s">
        <v>21</v>
      </c>
      <c r="H65" s="2">
        <v>470</v>
      </c>
      <c r="I65" s="2">
        <v>0.65</v>
      </c>
    </row>
    <row r="66" spans="1:9" x14ac:dyDescent="0.25">
      <c r="A66" s="2" t="s">
        <v>19</v>
      </c>
      <c r="B66" s="2" t="s">
        <v>16</v>
      </c>
      <c r="C66" s="3">
        <v>45662</v>
      </c>
      <c r="D66" s="2">
        <v>6385</v>
      </c>
      <c r="E66" s="2">
        <v>544</v>
      </c>
      <c r="F66" s="2">
        <v>2.87</v>
      </c>
      <c r="G66" s="2" t="s">
        <v>17</v>
      </c>
      <c r="H66" s="2">
        <v>383</v>
      </c>
      <c r="I66" s="2">
        <v>2.44</v>
      </c>
    </row>
    <row r="67" spans="1:9" x14ac:dyDescent="0.25">
      <c r="A67" s="2" t="s">
        <v>19</v>
      </c>
      <c r="B67" s="2" t="s">
        <v>16</v>
      </c>
      <c r="C67" s="3">
        <v>45663</v>
      </c>
      <c r="D67" s="2">
        <v>3216</v>
      </c>
      <c r="E67" s="2">
        <v>333</v>
      </c>
      <c r="F67" s="2">
        <v>9.9700000000000006</v>
      </c>
      <c r="G67" s="2" t="s">
        <v>21</v>
      </c>
      <c r="H67" s="2">
        <v>758</v>
      </c>
      <c r="I67" s="2">
        <v>4.8899999999999997</v>
      </c>
    </row>
    <row r="68" spans="1:9" x14ac:dyDescent="0.25">
      <c r="A68" s="2" t="s">
        <v>19</v>
      </c>
      <c r="B68" s="2" t="s">
        <v>16</v>
      </c>
      <c r="C68" s="3">
        <v>45664</v>
      </c>
      <c r="D68" s="2">
        <v>4679</v>
      </c>
      <c r="E68" s="2">
        <v>964</v>
      </c>
      <c r="F68" s="2">
        <v>1.61</v>
      </c>
      <c r="G68" s="2" t="s">
        <v>17</v>
      </c>
      <c r="H68" s="2">
        <v>385</v>
      </c>
      <c r="I68" s="2">
        <v>6.19</v>
      </c>
    </row>
    <row r="69" spans="1:9" x14ac:dyDescent="0.25">
      <c r="A69" s="2" t="s">
        <v>19</v>
      </c>
      <c r="B69" s="2" t="s">
        <v>16</v>
      </c>
      <c r="C69" s="3">
        <v>45665</v>
      </c>
      <c r="D69" s="2">
        <v>8927</v>
      </c>
      <c r="E69" s="2">
        <v>642</v>
      </c>
      <c r="F69" s="2">
        <v>7.82</v>
      </c>
      <c r="G69" s="2" t="s">
        <v>20</v>
      </c>
      <c r="H69" s="2">
        <v>173</v>
      </c>
      <c r="I69" s="2">
        <v>1.44</v>
      </c>
    </row>
    <row r="70" spans="1:9" x14ac:dyDescent="0.25">
      <c r="A70" s="2" t="s">
        <v>19</v>
      </c>
      <c r="B70" s="2" t="s">
        <v>16</v>
      </c>
      <c r="C70" s="3">
        <v>45666</v>
      </c>
      <c r="D70" s="2">
        <v>5725</v>
      </c>
      <c r="E70" s="2">
        <v>1022</v>
      </c>
      <c r="F70" s="2">
        <v>7.92</v>
      </c>
      <c r="G70" s="2" t="s">
        <v>18</v>
      </c>
      <c r="H70" s="2">
        <v>446</v>
      </c>
      <c r="I70" s="2">
        <v>3.37</v>
      </c>
    </row>
    <row r="71" spans="1:9" x14ac:dyDescent="0.25">
      <c r="A71" s="2" t="s">
        <v>19</v>
      </c>
      <c r="B71" s="2" t="s">
        <v>16</v>
      </c>
      <c r="C71" s="3">
        <v>45667</v>
      </c>
      <c r="D71" s="2">
        <v>6835</v>
      </c>
      <c r="E71" s="2">
        <v>331</v>
      </c>
      <c r="F71" s="2">
        <v>2.75</v>
      </c>
      <c r="G71" s="2" t="s">
        <v>17</v>
      </c>
      <c r="H71" s="2">
        <v>900</v>
      </c>
      <c r="I71" s="2">
        <v>8.74</v>
      </c>
    </row>
    <row r="72" spans="1:9" x14ac:dyDescent="0.25">
      <c r="A72" s="2" t="s">
        <v>19</v>
      </c>
      <c r="B72" s="2" t="s">
        <v>16</v>
      </c>
      <c r="C72" s="3">
        <v>45668</v>
      </c>
      <c r="D72" s="2">
        <v>5617</v>
      </c>
      <c r="E72" s="2">
        <v>652</v>
      </c>
      <c r="F72" s="2">
        <v>1.25</v>
      </c>
      <c r="G72" s="2" t="s">
        <v>18</v>
      </c>
      <c r="H72" s="2">
        <v>705</v>
      </c>
      <c r="I72" s="2">
        <v>5.95</v>
      </c>
    </row>
    <row r="73" spans="1:9" x14ac:dyDescent="0.25">
      <c r="A73" s="2" t="s">
        <v>19</v>
      </c>
      <c r="B73" s="2" t="s">
        <v>16</v>
      </c>
      <c r="C73" s="3">
        <v>45669</v>
      </c>
      <c r="D73" s="2">
        <v>5818</v>
      </c>
      <c r="E73" s="2">
        <v>953</v>
      </c>
      <c r="F73" s="2">
        <v>9.69</v>
      </c>
      <c r="G73" s="2" t="s">
        <v>21</v>
      </c>
      <c r="H73" s="2">
        <v>939</v>
      </c>
      <c r="I73" s="2">
        <v>6.92</v>
      </c>
    </row>
    <row r="74" spans="1:9" x14ac:dyDescent="0.25">
      <c r="A74" s="2" t="s">
        <v>19</v>
      </c>
      <c r="B74" s="2" t="s">
        <v>22</v>
      </c>
      <c r="C74" s="3">
        <v>43831</v>
      </c>
      <c r="D74" s="2">
        <v>6212</v>
      </c>
      <c r="E74" s="2">
        <v>254</v>
      </c>
      <c r="F74" s="2">
        <v>1.17</v>
      </c>
      <c r="G74" s="2" t="s">
        <v>20</v>
      </c>
      <c r="H74" s="2">
        <v>695</v>
      </c>
      <c r="I74" s="2">
        <v>8.94</v>
      </c>
    </row>
    <row r="75" spans="1:9" x14ac:dyDescent="0.25">
      <c r="A75" s="2" t="s">
        <v>19</v>
      </c>
      <c r="B75" s="2" t="s">
        <v>22</v>
      </c>
      <c r="C75" s="3">
        <v>43832</v>
      </c>
      <c r="D75" s="2">
        <v>3988</v>
      </c>
      <c r="E75" s="2">
        <v>871</v>
      </c>
      <c r="F75" s="2">
        <v>8.42</v>
      </c>
      <c r="G75" s="2" t="s">
        <v>18</v>
      </c>
      <c r="H75" s="2">
        <v>812</v>
      </c>
      <c r="I75" s="2">
        <v>6.31</v>
      </c>
    </row>
    <row r="76" spans="1:9" x14ac:dyDescent="0.25">
      <c r="A76" s="2" t="s">
        <v>19</v>
      </c>
      <c r="B76" s="2" t="s">
        <v>22</v>
      </c>
      <c r="C76" s="3">
        <v>43833</v>
      </c>
      <c r="D76" s="2">
        <v>6342</v>
      </c>
      <c r="E76" s="2">
        <v>344</v>
      </c>
      <c r="F76" s="2">
        <v>6.8</v>
      </c>
      <c r="G76" s="2" t="s">
        <v>20</v>
      </c>
      <c r="H76" s="2">
        <v>774</v>
      </c>
      <c r="I76" s="2">
        <v>2</v>
      </c>
    </row>
    <row r="77" spans="1:9" x14ac:dyDescent="0.25">
      <c r="A77" s="2" t="s">
        <v>19</v>
      </c>
      <c r="B77" s="2" t="s">
        <v>22</v>
      </c>
      <c r="C77" s="3">
        <v>43834</v>
      </c>
      <c r="D77" s="2">
        <v>7573</v>
      </c>
      <c r="E77" s="2">
        <v>986</v>
      </c>
      <c r="F77" s="2">
        <v>1.64</v>
      </c>
      <c r="G77" s="2" t="s">
        <v>18</v>
      </c>
      <c r="H77" s="2">
        <v>226</v>
      </c>
      <c r="I77" s="2">
        <v>1.48</v>
      </c>
    </row>
    <row r="78" spans="1:9" x14ac:dyDescent="0.25">
      <c r="A78" s="2" t="s">
        <v>19</v>
      </c>
      <c r="B78" s="2" t="s">
        <v>22</v>
      </c>
      <c r="C78" s="3">
        <v>43835</v>
      </c>
      <c r="D78" s="2">
        <v>7117</v>
      </c>
      <c r="E78" s="2">
        <v>955</v>
      </c>
      <c r="F78" s="2">
        <v>1.23</v>
      </c>
      <c r="G78" s="2" t="s">
        <v>20</v>
      </c>
      <c r="H78" s="2">
        <v>510</v>
      </c>
      <c r="I78" s="2">
        <v>4.84</v>
      </c>
    </row>
    <row r="79" spans="1:9" x14ac:dyDescent="0.25">
      <c r="A79" s="2" t="s">
        <v>19</v>
      </c>
      <c r="B79" s="2" t="s">
        <v>22</v>
      </c>
      <c r="C79" s="3">
        <v>43836</v>
      </c>
      <c r="D79" s="2">
        <v>5415</v>
      </c>
      <c r="E79" s="2">
        <v>478</v>
      </c>
      <c r="F79" s="2">
        <v>6.57</v>
      </c>
      <c r="G79" s="2" t="s">
        <v>20</v>
      </c>
      <c r="H79" s="2">
        <v>73</v>
      </c>
      <c r="I79" s="2">
        <v>6.55</v>
      </c>
    </row>
    <row r="80" spans="1:9" x14ac:dyDescent="0.25">
      <c r="A80" s="2" t="s">
        <v>19</v>
      </c>
      <c r="B80" s="2" t="s">
        <v>22</v>
      </c>
      <c r="C80" s="3">
        <v>43837</v>
      </c>
      <c r="D80" s="2">
        <v>8602</v>
      </c>
      <c r="E80" s="2">
        <v>213</v>
      </c>
      <c r="F80" s="2">
        <v>4.2699999999999996</v>
      </c>
      <c r="G80" s="2" t="s">
        <v>20</v>
      </c>
      <c r="H80" s="2">
        <v>488</v>
      </c>
      <c r="I80" s="2">
        <v>5.72</v>
      </c>
    </row>
    <row r="81" spans="1:9" x14ac:dyDescent="0.25">
      <c r="A81" s="2" t="s">
        <v>19</v>
      </c>
      <c r="B81" s="2" t="s">
        <v>22</v>
      </c>
      <c r="C81" s="3">
        <v>43838</v>
      </c>
      <c r="D81" s="2">
        <v>8485</v>
      </c>
      <c r="E81" s="2">
        <v>989</v>
      </c>
      <c r="F81" s="2">
        <v>8.56</v>
      </c>
      <c r="G81" s="2" t="s">
        <v>17</v>
      </c>
      <c r="H81" s="2">
        <v>50</v>
      </c>
      <c r="I81" s="2">
        <v>6.27</v>
      </c>
    </row>
    <row r="82" spans="1:9" x14ac:dyDescent="0.25">
      <c r="A82" s="2" t="s">
        <v>19</v>
      </c>
      <c r="B82" s="2" t="s">
        <v>22</v>
      </c>
      <c r="C82" s="3">
        <v>43839</v>
      </c>
      <c r="D82" s="2">
        <v>9663</v>
      </c>
      <c r="E82" s="2">
        <v>612</v>
      </c>
      <c r="F82" s="2">
        <v>6.27</v>
      </c>
      <c r="G82" s="2" t="s">
        <v>18</v>
      </c>
      <c r="H82" s="2">
        <v>518</v>
      </c>
      <c r="I82" s="2">
        <v>8.68</v>
      </c>
    </row>
    <row r="83" spans="1:9" x14ac:dyDescent="0.25">
      <c r="A83" s="2" t="s">
        <v>19</v>
      </c>
      <c r="B83" s="2" t="s">
        <v>22</v>
      </c>
      <c r="C83" s="3">
        <v>43840</v>
      </c>
      <c r="D83" s="2">
        <v>7381</v>
      </c>
      <c r="E83" s="2">
        <v>311</v>
      </c>
      <c r="F83" s="2">
        <v>7.75</v>
      </c>
      <c r="G83" s="2" t="s">
        <v>18</v>
      </c>
      <c r="H83" s="2">
        <v>442</v>
      </c>
      <c r="I83" s="2">
        <v>7.18</v>
      </c>
    </row>
    <row r="84" spans="1:9" x14ac:dyDescent="0.25">
      <c r="A84" s="2" t="s">
        <v>19</v>
      </c>
      <c r="B84" s="2" t="s">
        <v>22</v>
      </c>
      <c r="C84" s="3">
        <v>43841</v>
      </c>
      <c r="D84" s="2">
        <v>6387</v>
      </c>
      <c r="E84" s="2">
        <v>274</v>
      </c>
      <c r="F84" s="2">
        <v>8.94</v>
      </c>
      <c r="G84" s="2" t="s">
        <v>21</v>
      </c>
      <c r="H84" s="2">
        <v>819</v>
      </c>
      <c r="I84" s="2">
        <v>4.4000000000000004</v>
      </c>
    </row>
    <row r="85" spans="1:9" x14ac:dyDescent="0.25">
      <c r="A85" s="2" t="s">
        <v>19</v>
      </c>
      <c r="B85" s="2" t="s">
        <v>22</v>
      </c>
      <c r="C85" s="3">
        <v>43842</v>
      </c>
      <c r="D85" s="2">
        <v>9890</v>
      </c>
      <c r="E85" s="2">
        <v>201</v>
      </c>
      <c r="F85" s="2">
        <v>5.76</v>
      </c>
      <c r="G85" s="2" t="s">
        <v>17</v>
      </c>
      <c r="H85" s="2">
        <v>454</v>
      </c>
      <c r="I85" s="2">
        <v>2.4500000000000002</v>
      </c>
    </row>
    <row r="86" spans="1:9" x14ac:dyDescent="0.25">
      <c r="A86" s="2" t="s">
        <v>19</v>
      </c>
      <c r="B86" s="2" t="s">
        <v>22</v>
      </c>
      <c r="C86" s="3">
        <v>44197</v>
      </c>
      <c r="D86" s="2">
        <v>8409</v>
      </c>
      <c r="E86" s="2">
        <v>207</v>
      </c>
      <c r="F86" s="2">
        <v>4.5199999999999996</v>
      </c>
      <c r="G86" s="2" t="s">
        <v>21</v>
      </c>
      <c r="H86" s="2">
        <v>76</v>
      </c>
      <c r="I86" s="2">
        <v>6.13</v>
      </c>
    </row>
    <row r="87" spans="1:9" x14ac:dyDescent="0.25">
      <c r="A87" s="2" t="s">
        <v>19</v>
      </c>
      <c r="B87" s="2" t="s">
        <v>22</v>
      </c>
      <c r="C87" s="3">
        <v>44198</v>
      </c>
      <c r="D87" s="2">
        <v>5854</v>
      </c>
      <c r="E87" s="2">
        <v>905</v>
      </c>
      <c r="F87" s="2">
        <v>7.42</v>
      </c>
      <c r="G87" s="2" t="s">
        <v>18</v>
      </c>
      <c r="H87" s="2">
        <v>509</v>
      </c>
      <c r="I87" s="2">
        <v>6.82</v>
      </c>
    </row>
    <row r="88" spans="1:9" x14ac:dyDescent="0.25">
      <c r="A88" s="2" t="s">
        <v>19</v>
      </c>
      <c r="B88" s="2" t="s">
        <v>22</v>
      </c>
      <c r="C88" s="3">
        <v>44199</v>
      </c>
      <c r="D88" s="2">
        <v>6455</v>
      </c>
      <c r="E88" s="2">
        <v>816</v>
      </c>
      <c r="F88" s="2">
        <v>7.5</v>
      </c>
      <c r="G88" s="2" t="s">
        <v>20</v>
      </c>
      <c r="H88" s="2">
        <v>396</v>
      </c>
      <c r="I88" s="2">
        <v>4.88</v>
      </c>
    </row>
    <row r="89" spans="1:9" x14ac:dyDescent="0.25">
      <c r="A89" s="2" t="s">
        <v>19</v>
      </c>
      <c r="B89" s="2" t="s">
        <v>22</v>
      </c>
      <c r="C89" s="3">
        <v>44200</v>
      </c>
      <c r="D89" s="2">
        <v>3655</v>
      </c>
      <c r="E89" s="2">
        <v>1025</v>
      </c>
      <c r="F89" s="2">
        <v>2.98</v>
      </c>
      <c r="G89" s="2" t="s">
        <v>17</v>
      </c>
      <c r="H89" s="2">
        <v>63</v>
      </c>
      <c r="I89" s="2">
        <v>2.46</v>
      </c>
    </row>
    <row r="90" spans="1:9" x14ac:dyDescent="0.25">
      <c r="A90" s="2" t="s">
        <v>19</v>
      </c>
      <c r="B90" s="2" t="s">
        <v>22</v>
      </c>
      <c r="C90" s="3">
        <v>44201</v>
      </c>
      <c r="D90" s="2">
        <v>3707</v>
      </c>
      <c r="E90" s="2">
        <v>216</v>
      </c>
      <c r="F90" s="2">
        <v>8.09</v>
      </c>
      <c r="G90" s="2" t="s">
        <v>21</v>
      </c>
      <c r="H90" s="2">
        <v>149</v>
      </c>
      <c r="I90" s="2">
        <v>7.35</v>
      </c>
    </row>
    <row r="91" spans="1:9" x14ac:dyDescent="0.25">
      <c r="A91" s="2" t="s">
        <v>19</v>
      </c>
      <c r="B91" s="2" t="s">
        <v>22</v>
      </c>
      <c r="C91" s="3">
        <v>44202</v>
      </c>
      <c r="D91" s="2">
        <v>6861</v>
      </c>
      <c r="E91" s="2">
        <v>911</v>
      </c>
      <c r="F91" s="2">
        <v>7.98</v>
      </c>
      <c r="G91" s="2" t="s">
        <v>18</v>
      </c>
      <c r="H91" s="2">
        <v>817</v>
      </c>
      <c r="I91" s="2">
        <v>3.44</v>
      </c>
    </row>
    <row r="92" spans="1:9" x14ac:dyDescent="0.25">
      <c r="A92" s="2" t="s">
        <v>19</v>
      </c>
      <c r="B92" s="2" t="s">
        <v>22</v>
      </c>
      <c r="C92" s="3">
        <v>44203</v>
      </c>
      <c r="D92" s="2">
        <v>3890</v>
      </c>
      <c r="E92" s="2">
        <v>330</v>
      </c>
      <c r="F92" s="2">
        <v>5.71</v>
      </c>
      <c r="G92" s="2" t="s">
        <v>20</v>
      </c>
      <c r="H92" s="2">
        <v>893</v>
      </c>
      <c r="I92" s="2">
        <v>3.83</v>
      </c>
    </row>
    <row r="93" spans="1:9" x14ac:dyDescent="0.25">
      <c r="A93" s="2" t="s">
        <v>19</v>
      </c>
      <c r="B93" s="2" t="s">
        <v>22</v>
      </c>
      <c r="C93" s="3">
        <v>44204</v>
      </c>
      <c r="D93" s="2">
        <v>3686</v>
      </c>
      <c r="E93" s="2">
        <v>551</v>
      </c>
      <c r="F93" s="2">
        <v>9.2899999999999991</v>
      </c>
      <c r="G93" s="2" t="s">
        <v>20</v>
      </c>
      <c r="H93" s="2">
        <v>604</v>
      </c>
      <c r="I93" s="2">
        <v>5.01</v>
      </c>
    </row>
    <row r="94" spans="1:9" x14ac:dyDescent="0.25">
      <c r="A94" s="2" t="s">
        <v>19</v>
      </c>
      <c r="B94" s="2" t="s">
        <v>22</v>
      </c>
      <c r="C94" s="3">
        <v>44205</v>
      </c>
      <c r="D94" s="2">
        <v>5574</v>
      </c>
      <c r="E94" s="2">
        <v>560</v>
      </c>
      <c r="F94" s="2">
        <v>2.42</v>
      </c>
      <c r="G94" s="2" t="s">
        <v>20</v>
      </c>
      <c r="H94" s="2">
        <v>543</v>
      </c>
      <c r="I94" s="2">
        <v>6.07</v>
      </c>
    </row>
    <row r="95" spans="1:9" x14ac:dyDescent="0.25">
      <c r="A95" s="2" t="s">
        <v>19</v>
      </c>
      <c r="B95" s="2" t="s">
        <v>22</v>
      </c>
      <c r="C95" s="3">
        <v>44206</v>
      </c>
      <c r="D95" s="2">
        <v>5024</v>
      </c>
      <c r="E95" s="2">
        <v>1075</v>
      </c>
      <c r="F95" s="2">
        <v>2.4</v>
      </c>
      <c r="G95" s="2" t="s">
        <v>17</v>
      </c>
      <c r="H95" s="2">
        <v>291</v>
      </c>
      <c r="I95" s="2">
        <v>4.33</v>
      </c>
    </row>
    <row r="96" spans="1:9" x14ac:dyDescent="0.25">
      <c r="A96" s="2" t="s">
        <v>19</v>
      </c>
      <c r="B96" s="2" t="s">
        <v>22</v>
      </c>
      <c r="C96" s="3">
        <v>44207</v>
      </c>
      <c r="D96" s="2">
        <v>6895</v>
      </c>
      <c r="E96" s="2">
        <v>336</v>
      </c>
      <c r="F96" s="2">
        <v>7.34</v>
      </c>
      <c r="G96" s="2" t="s">
        <v>20</v>
      </c>
      <c r="H96" s="2">
        <v>969</v>
      </c>
      <c r="I96" s="2">
        <v>1.2</v>
      </c>
    </row>
    <row r="97" spans="1:9" x14ac:dyDescent="0.25">
      <c r="A97" s="2" t="s">
        <v>19</v>
      </c>
      <c r="B97" s="2" t="s">
        <v>22</v>
      </c>
      <c r="C97" s="3">
        <v>44208</v>
      </c>
      <c r="D97" s="2">
        <v>3226</v>
      </c>
      <c r="E97" s="2">
        <v>531</v>
      </c>
      <c r="F97" s="2">
        <v>5.23</v>
      </c>
      <c r="G97" s="2" t="s">
        <v>20</v>
      </c>
      <c r="H97" s="2">
        <v>202</v>
      </c>
      <c r="I97" s="2">
        <v>1.2</v>
      </c>
    </row>
    <row r="98" spans="1:9" x14ac:dyDescent="0.25">
      <c r="A98" s="2" t="s">
        <v>19</v>
      </c>
      <c r="B98" s="2" t="s">
        <v>22</v>
      </c>
      <c r="C98" s="3">
        <v>44562</v>
      </c>
      <c r="D98" s="2">
        <v>8705</v>
      </c>
      <c r="E98" s="2">
        <v>640</v>
      </c>
      <c r="F98" s="2">
        <v>5.54</v>
      </c>
      <c r="G98" s="2" t="s">
        <v>18</v>
      </c>
      <c r="H98" s="2">
        <v>968</v>
      </c>
      <c r="I98" s="2">
        <v>2.23</v>
      </c>
    </row>
    <row r="99" spans="1:9" x14ac:dyDescent="0.25">
      <c r="A99" s="2" t="s">
        <v>19</v>
      </c>
      <c r="B99" s="2" t="s">
        <v>22</v>
      </c>
      <c r="C99" s="3">
        <v>44563</v>
      </c>
      <c r="D99" s="2">
        <v>5574</v>
      </c>
      <c r="E99" s="2">
        <v>719</v>
      </c>
      <c r="F99" s="2">
        <v>3.68</v>
      </c>
      <c r="G99" s="2" t="s">
        <v>18</v>
      </c>
      <c r="H99" s="2">
        <v>958</v>
      </c>
      <c r="I99" s="2">
        <v>7.72</v>
      </c>
    </row>
    <row r="100" spans="1:9" x14ac:dyDescent="0.25">
      <c r="A100" s="2" t="s">
        <v>19</v>
      </c>
      <c r="B100" s="2" t="s">
        <v>22</v>
      </c>
      <c r="C100" s="3">
        <v>44564</v>
      </c>
      <c r="D100" s="2">
        <v>8569</v>
      </c>
      <c r="E100" s="2">
        <v>731</v>
      </c>
      <c r="F100" s="2">
        <v>9.6999999999999993</v>
      </c>
      <c r="G100" s="2" t="s">
        <v>20</v>
      </c>
      <c r="H100" s="2">
        <v>209</v>
      </c>
      <c r="I100" s="2">
        <v>7.78</v>
      </c>
    </row>
    <row r="101" spans="1:9" x14ac:dyDescent="0.25">
      <c r="A101" s="2" t="s">
        <v>19</v>
      </c>
      <c r="B101" s="2" t="s">
        <v>22</v>
      </c>
      <c r="C101" s="3">
        <v>44565</v>
      </c>
      <c r="D101" s="2">
        <v>3764</v>
      </c>
      <c r="E101" s="2">
        <v>336</v>
      </c>
      <c r="F101" s="2">
        <v>5.56</v>
      </c>
      <c r="G101" s="2" t="s">
        <v>18</v>
      </c>
      <c r="H101" s="2">
        <v>529</v>
      </c>
      <c r="I101" s="2">
        <v>9.84</v>
      </c>
    </row>
    <row r="102" spans="1:9" x14ac:dyDescent="0.25">
      <c r="A102" s="2" t="s">
        <v>19</v>
      </c>
      <c r="B102" s="2" t="s">
        <v>22</v>
      </c>
      <c r="C102" s="3">
        <v>44566</v>
      </c>
      <c r="D102" s="2">
        <v>5114</v>
      </c>
      <c r="E102" s="2">
        <v>525</v>
      </c>
      <c r="F102" s="2">
        <v>4.8899999999999997</v>
      </c>
      <c r="G102" s="2" t="s">
        <v>17</v>
      </c>
      <c r="H102" s="2">
        <v>137</v>
      </c>
      <c r="I102" s="2">
        <v>5.1100000000000003</v>
      </c>
    </row>
    <row r="103" spans="1:9" x14ac:dyDescent="0.25">
      <c r="A103" s="2" t="s">
        <v>19</v>
      </c>
      <c r="B103" s="2" t="s">
        <v>22</v>
      </c>
      <c r="C103" s="3">
        <v>44567</v>
      </c>
      <c r="D103" s="2">
        <v>9995</v>
      </c>
      <c r="E103" s="2">
        <v>852</v>
      </c>
      <c r="F103" s="2">
        <v>5.71</v>
      </c>
      <c r="G103" s="2" t="s">
        <v>21</v>
      </c>
      <c r="H103" s="2">
        <v>214</v>
      </c>
      <c r="I103" s="2">
        <v>0.57999999999999996</v>
      </c>
    </row>
    <row r="104" spans="1:9" x14ac:dyDescent="0.25">
      <c r="A104" s="2" t="s">
        <v>19</v>
      </c>
      <c r="B104" s="2" t="s">
        <v>22</v>
      </c>
      <c r="C104" s="3">
        <v>44568</v>
      </c>
      <c r="D104" s="2">
        <v>6610</v>
      </c>
      <c r="E104" s="2">
        <v>996</v>
      </c>
      <c r="F104" s="2">
        <v>8.07</v>
      </c>
      <c r="G104" s="2" t="s">
        <v>20</v>
      </c>
      <c r="H104" s="2">
        <v>217</v>
      </c>
      <c r="I104" s="2">
        <v>3.19</v>
      </c>
    </row>
    <row r="105" spans="1:9" x14ac:dyDescent="0.25">
      <c r="A105" s="2" t="s">
        <v>19</v>
      </c>
      <c r="B105" s="2" t="s">
        <v>22</v>
      </c>
      <c r="C105" s="3">
        <v>44569</v>
      </c>
      <c r="D105" s="2">
        <v>8685</v>
      </c>
      <c r="E105" s="2">
        <v>871</v>
      </c>
      <c r="F105" s="2">
        <v>4.96</v>
      </c>
      <c r="G105" s="2" t="s">
        <v>21</v>
      </c>
      <c r="H105" s="2">
        <v>157</v>
      </c>
      <c r="I105" s="2">
        <v>3.73</v>
      </c>
    </row>
    <row r="106" spans="1:9" x14ac:dyDescent="0.25">
      <c r="A106" s="2" t="s">
        <v>19</v>
      </c>
      <c r="B106" s="2" t="s">
        <v>22</v>
      </c>
      <c r="C106" s="3">
        <v>44570</v>
      </c>
      <c r="D106" s="2">
        <v>7014</v>
      </c>
      <c r="E106" s="2">
        <v>783</v>
      </c>
      <c r="F106" s="2">
        <v>3.55</v>
      </c>
      <c r="G106" s="2" t="s">
        <v>18</v>
      </c>
      <c r="H106" s="2">
        <v>848</v>
      </c>
      <c r="I106" s="2">
        <v>4.6100000000000003</v>
      </c>
    </row>
    <row r="107" spans="1:9" x14ac:dyDescent="0.25">
      <c r="A107" s="2" t="s">
        <v>19</v>
      </c>
      <c r="B107" s="2" t="s">
        <v>22</v>
      </c>
      <c r="C107" s="3">
        <v>44571</v>
      </c>
      <c r="D107" s="2">
        <v>4265</v>
      </c>
      <c r="E107" s="2">
        <v>1061</v>
      </c>
      <c r="F107" s="2">
        <v>5.26</v>
      </c>
      <c r="G107" s="2" t="s">
        <v>20</v>
      </c>
      <c r="H107" s="2">
        <v>418</v>
      </c>
      <c r="I107" s="2">
        <v>0.68</v>
      </c>
    </row>
    <row r="108" spans="1:9" x14ac:dyDescent="0.25">
      <c r="A108" s="2" t="s">
        <v>19</v>
      </c>
      <c r="B108" s="2" t="s">
        <v>22</v>
      </c>
      <c r="C108" s="3">
        <v>44572</v>
      </c>
      <c r="D108" s="2">
        <v>8824</v>
      </c>
      <c r="E108" s="2">
        <v>1108</v>
      </c>
      <c r="F108" s="2">
        <v>3.64</v>
      </c>
      <c r="G108" s="2" t="s">
        <v>20</v>
      </c>
      <c r="H108" s="2">
        <v>349</v>
      </c>
      <c r="I108" s="2">
        <v>5.07</v>
      </c>
    </row>
    <row r="109" spans="1:9" x14ac:dyDescent="0.25">
      <c r="A109" s="2" t="s">
        <v>19</v>
      </c>
      <c r="B109" s="2" t="s">
        <v>22</v>
      </c>
      <c r="C109" s="3">
        <v>44573</v>
      </c>
      <c r="D109" s="2">
        <v>4903</v>
      </c>
      <c r="E109" s="2">
        <v>1143</v>
      </c>
      <c r="F109" s="2">
        <v>2.74</v>
      </c>
      <c r="G109" s="2" t="s">
        <v>20</v>
      </c>
      <c r="H109" s="2">
        <v>583</v>
      </c>
      <c r="I109" s="2">
        <v>7.51</v>
      </c>
    </row>
    <row r="110" spans="1:9" x14ac:dyDescent="0.25">
      <c r="A110" s="2" t="s">
        <v>19</v>
      </c>
      <c r="B110" s="2" t="s">
        <v>22</v>
      </c>
      <c r="C110" s="3">
        <v>44927</v>
      </c>
      <c r="D110" s="2">
        <v>4057</v>
      </c>
      <c r="E110" s="2">
        <v>294</v>
      </c>
      <c r="F110" s="2">
        <v>3.37</v>
      </c>
      <c r="G110" s="2" t="s">
        <v>20</v>
      </c>
      <c r="H110" s="2">
        <v>806</v>
      </c>
      <c r="I110" s="2">
        <v>2.5099999999999998</v>
      </c>
    </row>
    <row r="111" spans="1:9" x14ac:dyDescent="0.25">
      <c r="A111" s="2" t="s">
        <v>19</v>
      </c>
      <c r="B111" s="2" t="s">
        <v>22</v>
      </c>
      <c r="C111" s="3">
        <v>44928</v>
      </c>
      <c r="D111" s="2">
        <v>4746</v>
      </c>
      <c r="E111" s="2">
        <v>1188</v>
      </c>
      <c r="F111" s="2">
        <v>2.81</v>
      </c>
      <c r="G111" s="2" t="s">
        <v>20</v>
      </c>
      <c r="H111" s="2">
        <v>61</v>
      </c>
      <c r="I111" s="2">
        <v>4.93</v>
      </c>
    </row>
    <row r="112" spans="1:9" x14ac:dyDescent="0.25">
      <c r="A112" s="2" t="s">
        <v>19</v>
      </c>
      <c r="B112" s="2" t="s">
        <v>22</v>
      </c>
      <c r="C112" s="3">
        <v>44929</v>
      </c>
      <c r="D112" s="2">
        <v>4784</v>
      </c>
      <c r="E112" s="2">
        <v>417</v>
      </c>
      <c r="F112" s="2">
        <v>7.05</v>
      </c>
      <c r="G112" s="2" t="s">
        <v>20</v>
      </c>
      <c r="H112" s="2">
        <v>505</v>
      </c>
      <c r="I112" s="2">
        <v>1.81</v>
      </c>
    </row>
    <row r="113" spans="1:9" x14ac:dyDescent="0.25">
      <c r="A113" s="2" t="s">
        <v>19</v>
      </c>
      <c r="B113" s="2" t="s">
        <v>22</v>
      </c>
      <c r="C113" s="3">
        <v>44930</v>
      </c>
      <c r="D113" s="2">
        <v>8202</v>
      </c>
      <c r="E113" s="2">
        <v>1073</v>
      </c>
      <c r="F113" s="2">
        <v>6.57</v>
      </c>
      <c r="G113" s="2" t="s">
        <v>17</v>
      </c>
      <c r="H113" s="2">
        <v>460</v>
      </c>
      <c r="I113" s="2">
        <v>6.68</v>
      </c>
    </row>
    <row r="114" spans="1:9" x14ac:dyDescent="0.25">
      <c r="A114" s="2" t="s">
        <v>19</v>
      </c>
      <c r="B114" s="2" t="s">
        <v>22</v>
      </c>
      <c r="C114" s="3">
        <v>44931</v>
      </c>
      <c r="D114" s="2">
        <v>8363</v>
      </c>
      <c r="E114" s="2">
        <v>819</v>
      </c>
      <c r="F114" s="2">
        <v>9.1999999999999993</v>
      </c>
      <c r="G114" s="2" t="s">
        <v>20</v>
      </c>
      <c r="H114" s="2">
        <v>82</v>
      </c>
      <c r="I114" s="2">
        <v>6.29</v>
      </c>
    </row>
    <row r="115" spans="1:9" x14ac:dyDescent="0.25">
      <c r="A115" s="2" t="s">
        <v>19</v>
      </c>
      <c r="B115" s="2" t="s">
        <v>22</v>
      </c>
      <c r="C115" s="3">
        <v>44932</v>
      </c>
      <c r="D115" s="2">
        <v>3403</v>
      </c>
      <c r="E115" s="2">
        <v>990</v>
      </c>
      <c r="F115" s="2">
        <v>1.85</v>
      </c>
      <c r="G115" s="2" t="s">
        <v>21</v>
      </c>
      <c r="H115" s="2">
        <v>721</v>
      </c>
      <c r="I115" s="2">
        <v>8.2799999999999994</v>
      </c>
    </row>
    <row r="116" spans="1:9" x14ac:dyDescent="0.25">
      <c r="A116" s="2" t="s">
        <v>19</v>
      </c>
      <c r="B116" s="2" t="s">
        <v>22</v>
      </c>
      <c r="C116" s="3">
        <v>44933</v>
      </c>
      <c r="D116" s="2">
        <v>5650</v>
      </c>
      <c r="E116" s="2">
        <v>430</v>
      </c>
      <c r="F116" s="2">
        <v>6.6</v>
      </c>
      <c r="G116" s="2" t="s">
        <v>20</v>
      </c>
      <c r="H116" s="2">
        <v>653</v>
      </c>
      <c r="I116" s="2">
        <v>4.8600000000000003</v>
      </c>
    </row>
    <row r="117" spans="1:9" x14ac:dyDescent="0.25">
      <c r="A117" s="2" t="s">
        <v>19</v>
      </c>
      <c r="B117" s="2" t="s">
        <v>22</v>
      </c>
      <c r="C117" s="3">
        <v>44934</v>
      </c>
      <c r="D117" s="2">
        <v>4332</v>
      </c>
      <c r="E117" s="2">
        <v>746</v>
      </c>
      <c r="F117" s="2">
        <v>1.03</v>
      </c>
      <c r="G117" s="2" t="s">
        <v>17</v>
      </c>
      <c r="H117" s="2">
        <v>327</v>
      </c>
      <c r="I117" s="2">
        <v>5.3</v>
      </c>
    </row>
    <row r="118" spans="1:9" x14ac:dyDescent="0.25">
      <c r="A118" s="2" t="s">
        <v>19</v>
      </c>
      <c r="B118" s="2" t="s">
        <v>22</v>
      </c>
      <c r="C118" s="3">
        <v>44935</v>
      </c>
      <c r="D118" s="2">
        <v>6213</v>
      </c>
      <c r="E118" s="2">
        <v>381</v>
      </c>
      <c r="F118" s="2">
        <v>3.21</v>
      </c>
      <c r="G118" s="2" t="s">
        <v>17</v>
      </c>
      <c r="H118" s="2">
        <v>920</v>
      </c>
      <c r="I118" s="2">
        <v>8.9600000000000009</v>
      </c>
    </row>
    <row r="119" spans="1:9" x14ac:dyDescent="0.25">
      <c r="A119" s="2" t="s">
        <v>19</v>
      </c>
      <c r="B119" s="2" t="s">
        <v>22</v>
      </c>
      <c r="C119" s="3">
        <v>44936</v>
      </c>
      <c r="D119" s="2">
        <v>9521</v>
      </c>
      <c r="E119" s="2">
        <v>374</v>
      </c>
      <c r="F119" s="2">
        <v>6.4</v>
      </c>
      <c r="G119" s="2" t="s">
        <v>21</v>
      </c>
      <c r="H119" s="2">
        <v>633</v>
      </c>
      <c r="I119" s="2">
        <v>4.33</v>
      </c>
    </row>
    <row r="120" spans="1:9" x14ac:dyDescent="0.25">
      <c r="A120" s="2" t="s">
        <v>19</v>
      </c>
      <c r="B120" s="2" t="s">
        <v>22</v>
      </c>
      <c r="C120" s="3">
        <v>44937</v>
      </c>
      <c r="D120" s="2">
        <v>6702</v>
      </c>
      <c r="E120" s="2">
        <v>1007</v>
      </c>
      <c r="F120" s="2">
        <v>6.14</v>
      </c>
      <c r="G120" s="2" t="s">
        <v>20</v>
      </c>
      <c r="H120" s="2">
        <v>763</v>
      </c>
      <c r="I120" s="2">
        <v>7.31</v>
      </c>
    </row>
    <row r="121" spans="1:9" x14ac:dyDescent="0.25">
      <c r="A121" s="2" t="s">
        <v>19</v>
      </c>
      <c r="B121" s="2" t="s">
        <v>22</v>
      </c>
      <c r="C121" s="3">
        <v>44938</v>
      </c>
      <c r="D121" s="2">
        <v>7343</v>
      </c>
      <c r="E121" s="2">
        <v>811</v>
      </c>
      <c r="F121" s="2">
        <v>4.82</v>
      </c>
      <c r="G121" s="2" t="s">
        <v>20</v>
      </c>
      <c r="H121" s="2">
        <v>432</v>
      </c>
      <c r="I121" s="2">
        <v>5.84</v>
      </c>
    </row>
    <row r="122" spans="1:9" x14ac:dyDescent="0.25">
      <c r="A122" s="2" t="s">
        <v>19</v>
      </c>
      <c r="B122" s="2" t="s">
        <v>22</v>
      </c>
      <c r="C122" s="3">
        <v>45292</v>
      </c>
      <c r="D122" s="2">
        <v>5661</v>
      </c>
      <c r="E122" s="2">
        <v>407</v>
      </c>
      <c r="F122" s="2">
        <v>3.78</v>
      </c>
      <c r="G122" s="2" t="s">
        <v>20</v>
      </c>
      <c r="H122" s="2">
        <v>859</v>
      </c>
      <c r="I122" s="2">
        <v>4.3600000000000003</v>
      </c>
    </row>
    <row r="123" spans="1:9" x14ac:dyDescent="0.25">
      <c r="A123" s="2" t="s">
        <v>19</v>
      </c>
      <c r="B123" s="2" t="s">
        <v>22</v>
      </c>
      <c r="C123" s="3">
        <v>45293</v>
      </c>
      <c r="D123" s="2">
        <v>3759</v>
      </c>
      <c r="E123" s="2">
        <v>821</v>
      </c>
      <c r="F123" s="2">
        <v>2.74</v>
      </c>
      <c r="G123" s="2" t="s">
        <v>20</v>
      </c>
      <c r="H123" s="2">
        <v>930</v>
      </c>
      <c r="I123" s="2">
        <v>3.59</v>
      </c>
    </row>
    <row r="124" spans="1:9" x14ac:dyDescent="0.25">
      <c r="A124" s="2" t="s">
        <v>19</v>
      </c>
      <c r="B124" s="2" t="s">
        <v>22</v>
      </c>
      <c r="C124" s="3">
        <v>45294</v>
      </c>
      <c r="D124" s="2">
        <v>5841</v>
      </c>
      <c r="E124" s="2">
        <v>1090</v>
      </c>
      <c r="F124" s="2">
        <v>4.67</v>
      </c>
      <c r="G124" s="2" t="s">
        <v>18</v>
      </c>
      <c r="H124" s="2">
        <v>127</v>
      </c>
      <c r="I124" s="2">
        <v>0.87</v>
      </c>
    </row>
    <row r="125" spans="1:9" x14ac:dyDescent="0.25">
      <c r="A125" s="2" t="s">
        <v>19</v>
      </c>
      <c r="B125" s="2" t="s">
        <v>22</v>
      </c>
      <c r="C125" s="3">
        <v>45295</v>
      </c>
      <c r="D125" s="2">
        <v>4208</v>
      </c>
      <c r="E125" s="2">
        <v>1110</v>
      </c>
      <c r="F125" s="2">
        <v>1.26</v>
      </c>
      <c r="G125" s="2" t="s">
        <v>21</v>
      </c>
      <c r="H125" s="2">
        <v>639</v>
      </c>
      <c r="I125" s="2">
        <v>4.34</v>
      </c>
    </row>
    <row r="126" spans="1:9" x14ac:dyDescent="0.25">
      <c r="A126" s="2" t="s">
        <v>19</v>
      </c>
      <c r="B126" s="2" t="s">
        <v>22</v>
      </c>
      <c r="C126" s="3">
        <v>45296</v>
      </c>
      <c r="D126" s="2">
        <v>7218</v>
      </c>
      <c r="E126" s="2">
        <v>924</v>
      </c>
      <c r="F126" s="2">
        <v>2.88</v>
      </c>
      <c r="G126" s="2" t="s">
        <v>20</v>
      </c>
      <c r="H126" s="2">
        <v>649</v>
      </c>
      <c r="I126" s="2">
        <v>0.04</v>
      </c>
    </row>
    <row r="127" spans="1:9" x14ac:dyDescent="0.25">
      <c r="A127" s="2" t="s">
        <v>19</v>
      </c>
      <c r="B127" s="2" t="s">
        <v>22</v>
      </c>
      <c r="C127" s="3">
        <v>45297</v>
      </c>
      <c r="D127" s="2">
        <v>4261</v>
      </c>
      <c r="E127" s="2">
        <v>1167</v>
      </c>
      <c r="F127" s="2">
        <v>6.6</v>
      </c>
      <c r="G127" s="2" t="s">
        <v>17</v>
      </c>
      <c r="H127" s="2">
        <v>258</v>
      </c>
      <c r="I127" s="2">
        <v>0.53</v>
      </c>
    </row>
    <row r="128" spans="1:9" x14ac:dyDescent="0.25">
      <c r="A128" s="2" t="s">
        <v>19</v>
      </c>
      <c r="B128" s="2" t="s">
        <v>22</v>
      </c>
      <c r="C128" s="3">
        <v>45298</v>
      </c>
      <c r="D128" s="2">
        <v>5828</v>
      </c>
      <c r="E128" s="2">
        <v>237</v>
      </c>
      <c r="F128" s="2">
        <v>7.98</v>
      </c>
      <c r="G128" s="2" t="s">
        <v>21</v>
      </c>
      <c r="H128" s="2">
        <v>201</v>
      </c>
      <c r="I128" s="2">
        <v>0.24</v>
      </c>
    </row>
    <row r="129" spans="1:9" x14ac:dyDescent="0.25">
      <c r="A129" s="2" t="s">
        <v>19</v>
      </c>
      <c r="B129" s="2" t="s">
        <v>22</v>
      </c>
      <c r="C129" s="3">
        <v>45299</v>
      </c>
      <c r="D129" s="2">
        <v>8275</v>
      </c>
      <c r="E129" s="2">
        <v>661</v>
      </c>
      <c r="F129" s="2">
        <v>2.38</v>
      </c>
      <c r="G129" s="2" t="s">
        <v>17</v>
      </c>
      <c r="H129" s="2">
        <v>955</v>
      </c>
      <c r="I129" s="2">
        <v>6.44</v>
      </c>
    </row>
    <row r="130" spans="1:9" x14ac:dyDescent="0.25">
      <c r="A130" s="2" t="s">
        <v>19</v>
      </c>
      <c r="B130" s="2" t="s">
        <v>22</v>
      </c>
      <c r="C130" s="3">
        <v>45300</v>
      </c>
      <c r="D130" s="2">
        <v>5216</v>
      </c>
      <c r="E130" s="2">
        <v>501</v>
      </c>
      <c r="F130" s="2">
        <v>8.56</v>
      </c>
      <c r="G130" s="2" t="s">
        <v>18</v>
      </c>
      <c r="H130" s="2">
        <v>524</v>
      </c>
      <c r="I130" s="2">
        <v>5.92</v>
      </c>
    </row>
    <row r="131" spans="1:9" x14ac:dyDescent="0.25">
      <c r="A131" s="2" t="s">
        <v>19</v>
      </c>
      <c r="B131" s="2" t="s">
        <v>22</v>
      </c>
      <c r="C131" s="3">
        <v>45301</v>
      </c>
      <c r="D131" s="2">
        <v>3211</v>
      </c>
      <c r="E131" s="2">
        <v>900</v>
      </c>
      <c r="F131" s="2">
        <v>2.06</v>
      </c>
      <c r="G131" s="2" t="s">
        <v>17</v>
      </c>
      <c r="H131" s="2">
        <v>83</v>
      </c>
      <c r="I131" s="2">
        <v>6.39</v>
      </c>
    </row>
    <row r="132" spans="1:9" x14ac:dyDescent="0.25">
      <c r="A132" s="2" t="s">
        <v>19</v>
      </c>
      <c r="B132" s="2" t="s">
        <v>22</v>
      </c>
      <c r="C132" s="3">
        <v>45302</v>
      </c>
      <c r="D132" s="2">
        <v>8669</v>
      </c>
      <c r="E132" s="2">
        <v>757</v>
      </c>
      <c r="F132" s="2">
        <v>7.14</v>
      </c>
      <c r="G132" s="2" t="s">
        <v>20</v>
      </c>
      <c r="H132" s="2">
        <v>637</v>
      </c>
      <c r="I132" s="2">
        <v>3.98</v>
      </c>
    </row>
    <row r="133" spans="1:9" x14ac:dyDescent="0.25">
      <c r="A133" s="2" t="s">
        <v>19</v>
      </c>
      <c r="B133" s="2" t="s">
        <v>22</v>
      </c>
      <c r="C133" s="3">
        <v>45303</v>
      </c>
      <c r="D133" s="2">
        <v>4744</v>
      </c>
      <c r="E133" s="2">
        <v>328</v>
      </c>
      <c r="F133" s="2">
        <v>4.4400000000000004</v>
      </c>
      <c r="G133" s="2" t="s">
        <v>20</v>
      </c>
      <c r="H133" s="2">
        <v>530</v>
      </c>
      <c r="I133" s="2">
        <v>4</v>
      </c>
    </row>
    <row r="134" spans="1:9" x14ac:dyDescent="0.25">
      <c r="A134" s="2" t="s">
        <v>19</v>
      </c>
      <c r="B134" s="2" t="s">
        <v>22</v>
      </c>
      <c r="C134" s="3">
        <v>45658</v>
      </c>
      <c r="D134" s="2">
        <v>9027</v>
      </c>
      <c r="E134" s="2">
        <v>1121</v>
      </c>
      <c r="F134" s="2">
        <v>3.43</v>
      </c>
      <c r="G134" s="2" t="s">
        <v>17</v>
      </c>
      <c r="H134" s="2">
        <v>420</v>
      </c>
      <c r="I134" s="2">
        <v>4.82</v>
      </c>
    </row>
    <row r="135" spans="1:9" x14ac:dyDescent="0.25">
      <c r="A135" s="2" t="s">
        <v>19</v>
      </c>
      <c r="B135" s="2" t="s">
        <v>22</v>
      </c>
      <c r="C135" s="3">
        <v>45659</v>
      </c>
      <c r="D135" s="2">
        <v>4131</v>
      </c>
      <c r="E135" s="2">
        <v>1030</v>
      </c>
      <c r="F135" s="2">
        <v>4.29</v>
      </c>
      <c r="G135" s="2" t="s">
        <v>21</v>
      </c>
      <c r="H135" s="2">
        <v>218</v>
      </c>
      <c r="I135" s="2">
        <v>4.22</v>
      </c>
    </row>
    <row r="136" spans="1:9" x14ac:dyDescent="0.25">
      <c r="A136" s="2" t="s">
        <v>19</v>
      </c>
      <c r="B136" s="2" t="s">
        <v>22</v>
      </c>
      <c r="C136" s="3">
        <v>45660</v>
      </c>
      <c r="D136" s="2">
        <v>9752</v>
      </c>
      <c r="E136" s="2">
        <v>1151</v>
      </c>
      <c r="F136" s="2">
        <v>3.28</v>
      </c>
      <c r="G136" s="2" t="s">
        <v>21</v>
      </c>
      <c r="H136" s="2">
        <v>699</v>
      </c>
      <c r="I136" s="2">
        <v>9.5500000000000007</v>
      </c>
    </row>
    <row r="137" spans="1:9" x14ac:dyDescent="0.25">
      <c r="A137" s="2" t="s">
        <v>19</v>
      </c>
      <c r="B137" s="2" t="s">
        <v>22</v>
      </c>
      <c r="C137" s="3">
        <v>45661</v>
      </c>
      <c r="D137" s="2">
        <v>6112</v>
      </c>
      <c r="E137" s="2">
        <v>533</v>
      </c>
      <c r="F137" s="2">
        <v>7.68</v>
      </c>
      <c r="G137" s="2" t="s">
        <v>18</v>
      </c>
      <c r="H137" s="2">
        <v>462</v>
      </c>
      <c r="I137" s="2">
        <v>1.72</v>
      </c>
    </row>
    <row r="138" spans="1:9" x14ac:dyDescent="0.25">
      <c r="A138" s="2" t="s">
        <v>19</v>
      </c>
      <c r="B138" s="2" t="s">
        <v>22</v>
      </c>
      <c r="C138" s="3">
        <v>45662</v>
      </c>
      <c r="D138" s="2">
        <v>5294</v>
      </c>
      <c r="E138" s="2">
        <v>713</v>
      </c>
      <c r="F138" s="2">
        <v>5.84</v>
      </c>
      <c r="G138" s="2" t="s">
        <v>20</v>
      </c>
      <c r="H138" s="2">
        <v>803</v>
      </c>
      <c r="I138" s="2">
        <v>9.44</v>
      </c>
    </row>
    <row r="139" spans="1:9" x14ac:dyDescent="0.25">
      <c r="A139" s="2" t="s">
        <v>19</v>
      </c>
      <c r="B139" s="2" t="s">
        <v>22</v>
      </c>
      <c r="C139" s="3">
        <v>45663</v>
      </c>
      <c r="D139" s="2">
        <v>8999</v>
      </c>
      <c r="E139" s="2">
        <v>922</v>
      </c>
      <c r="F139" s="2">
        <v>2.58</v>
      </c>
      <c r="G139" s="2" t="s">
        <v>18</v>
      </c>
      <c r="H139" s="2">
        <v>184</v>
      </c>
      <c r="I139" s="2">
        <v>1.42</v>
      </c>
    </row>
    <row r="140" spans="1:9" x14ac:dyDescent="0.25">
      <c r="A140" s="2" t="s">
        <v>19</v>
      </c>
      <c r="B140" s="2" t="s">
        <v>22</v>
      </c>
      <c r="C140" s="3">
        <v>45664</v>
      </c>
      <c r="D140" s="2">
        <v>3115</v>
      </c>
      <c r="E140" s="2">
        <v>1165</v>
      </c>
      <c r="F140" s="2">
        <v>5.25</v>
      </c>
      <c r="G140" s="2" t="s">
        <v>20</v>
      </c>
      <c r="H140" s="2">
        <v>131</v>
      </c>
      <c r="I140" s="2">
        <v>3.64</v>
      </c>
    </row>
    <row r="141" spans="1:9" x14ac:dyDescent="0.25">
      <c r="A141" s="2" t="s">
        <v>19</v>
      </c>
      <c r="B141" s="2" t="s">
        <v>22</v>
      </c>
      <c r="C141" s="3">
        <v>45665</v>
      </c>
      <c r="D141" s="2">
        <v>7378</v>
      </c>
      <c r="E141" s="2">
        <v>1005</v>
      </c>
      <c r="F141" s="2">
        <v>2.0499999999999998</v>
      </c>
      <c r="G141" s="2" t="s">
        <v>17</v>
      </c>
      <c r="H141" s="2">
        <v>727</v>
      </c>
      <c r="I141" s="2">
        <v>9.9600000000000009</v>
      </c>
    </row>
    <row r="142" spans="1:9" x14ac:dyDescent="0.25">
      <c r="A142" s="2" t="s">
        <v>19</v>
      </c>
      <c r="B142" s="2" t="s">
        <v>22</v>
      </c>
      <c r="C142" s="3">
        <v>45666</v>
      </c>
      <c r="D142" s="2">
        <v>9424</v>
      </c>
      <c r="E142" s="2">
        <v>859</v>
      </c>
      <c r="F142" s="2">
        <v>4.71</v>
      </c>
      <c r="G142" s="2" t="s">
        <v>17</v>
      </c>
      <c r="H142" s="2">
        <v>778</v>
      </c>
      <c r="I142" s="2">
        <v>9.98</v>
      </c>
    </row>
    <row r="143" spans="1:9" x14ac:dyDescent="0.25">
      <c r="A143" s="2" t="s">
        <v>19</v>
      </c>
      <c r="B143" s="2" t="s">
        <v>22</v>
      </c>
      <c r="C143" s="3">
        <v>45667</v>
      </c>
      <c r="D143" s="2">
        <v>4682</v>
      </c>
      <c r="E143" s="2">
        <v>954</v>
      </c>
      <c r="F143" s="2">
        <v>8.86</v>
      </c>
      <c r="G143" s="2" t="s">
        <v>21</v>
      </c>
      <c r="H143" s="2">
        <v>767</v>
      </c>
      <c r="I143" s="2">
        <v>1.63</v>
      </c>
    </row>
    <row r="144" spans="1:9" x14ac:dyDescent="0.25">
      <c r="A144" s="2" t="s">
        <v>19</v>
      </c>
      <c r="B144" s="2" t="s">
        <v>22</v>
      </c>
      <c r="C144" s="3">
        <v>45668</v>
      </c>
      <c r="D144" s="2">
        <v>4122</v>
      </c>
      <c r="E144" s="2">
        <v>987</v>
      </c>
      <c r="F144" s="2">
        <v>6.22</v>
      </c>
      <c r="G144" s="2" t="s">
        <v>18</v>
      </c>
      <c r="H144" s="2">
        <v>56</v>
      </c>
      <c r="I144" s="2">
        <v>3.99</v>
      </c>
    </row>
    <row r="145" spans="1:9" x14ac:dyDescent="0.25">
      <c r="A145" s="2" t="s">
        <v>19</v>
      </c>
      <c r="B145" s="2" t="s">
        <v>22</v>
      </c>
      <c r="C145" s="3">
        <v>45669</v>
      </c>
      <c r="D145" s="2">
        <v>4631</v>
      </c>
      <c r="E145" s="2">
        <v>625</v>
      </c>
      <c r="F145" s="2">
        <v>3.22</v>
      </c>
      <c r="G145" s="2" t="s">
        <v>17</v>
      </c>
      <c r="H145" s="2">
        <v>670</v>
      </c>
      <c r="I145" s="2">
        <v>1.69</v>
      </c>
    </row>
    <row r="146" spans="1:9" x14ac:dyDescent="0.25">
      <c r="A146" s="2" t="s">
        <v>23</v>
      </c>
      <c r="B146" s="2" t="s">
        <v>24</v>
      </c>
      <c r="C146" s="3">
        <v>43831</v>
      </c>
      <c r="D146" s="2">
        <v>8624</v>
      </c>
      <c r="E146" s="2">
        <v>384</v>
      </c>
      <c r="F146" s="2">
        <v>9.52</v>
      </c>
      <c r="G146" s="2" t="s">
        <v>17</v>
      </c>
      <c r="H146" s="2">
        <v>916</v>
      </c>
      <c r="I146" s="2">
        <v>1.41</v>
      </c>
    </row>
    <row r="147" spans="1:9" x14ac:dyDescent="0.25">
      <c r="A147" s="2" t="s">
        <v>23</v>
      </c>
      <c r="B147" s="2" t="s">
        <v>24</v>
      </c>
      <c r="C147" s="3">
        <v>43832</v>
      </c>
      <c r="D147" s="2">
        <v>6604</v>
      </c>
      <c r="E147" s="2">
        <v>1087</v>
      </c>
      <c r="F147" s="2">
        <v>9.35</v>
      </c>
      <c r="G147" s="2" t="s">
        <v>18</v>
      </c>
      <c r="H147" s="2">
        <v>526</v>
      </c>
      <c r="I147" s="2">
        <v>2.2400000000000002</v>
      </c>
    </row>
    <row r="148" spans="1:9" x14ac:dyDescent="0.25">
      <c r="A148" s="2" t="s">
        <v>23</v>
      </c>
      <c r="B148" s="2" t="s">
        <v>24</v>
      </c>
      <c r="C148" s="3">
        <v>43833</v>
      </c>
      <c r="D148" s="2">
        <v>9264</v>
      </c>
      <c r="E148" s="2">
        <v>733</v>
      </c>
      <c r="F148" s="2">
        <v>2.42</v>
      </c>
      <c r="G148" s="2" t="s">
        <v>17</v>
      </c>
      <c r="H148" s="2">
        <v>708</v>
      </c>
      <c r="I148" s="2">
        <v>7.68</v>
      </c>
    </row>
    <row r="149" spans="1:9" x14ac:dyDescent="0.25">
      <c r="A149" s="2" t="s">
        <v>23</v>
      </c>
      <c r="B149" s="2" t="s">
        <v>24</v>
      </c>
      <c r="C149" s="3">
        <v>43834</v>
      </c>
      <c r="D149" s="2">
        <v>8929</v>
      </c>
      <c r="E149" s="2">
        <v>566</v>
      </c>
      <c r="F149" s="2">
        <v>5.78</v>
      </c>
      <c r="G149" s="2" t="s">
        <v>18</v>
      </c>
      <c r="H149" s="2">
        <v>398</v>
      </c>
      <c r="I149" s="2">
        <v>9.36</v>
      </c>
    </row>
    <row r="150" spans="1:9" x14ac:dyDescent="0.25">
      <c r="A150" s="2" t="s">
        <v>23</v>
      </c>
      <c r="B150" s="2" t="s">
        <v>24</v>
      </c>
      <c r="C150" s="3">
        <v>43835</v>
      </c>
      <c r="D150" s="2">
        <v>8190</v>
      </c>
      <c r="E150" s="2">
        <v>645</v>
      </c>
      <c r="F150" s="2">
        <v>3.09</v>
      </c>
      <c r="G150" s="2" t="s">
        <v>20</v>
      </c>
      <c r="H150" s="2">
        <v>961</v>
      </c>
      <c r="I150" s="2">
        <v>2.68</v>
      </c>
    </row>
    <row r="151" spans="1:9" x14ac:dyDescent="0.25">
      <c r="A151" s="2" t="s">
        <v>23</v>
      </c>
      <c r="B151" s="2" t="s">
        <v>24</v>
      </c>
      <c r="C151" s="3">
        <v>43836</v>
      </c>
      <c r="D151" s="2">
        <v>3608</v>
      </c>
      <c r="E151" s="2">
        <v>402</v>
      </c>
      <c r="F151" s="2">
        <v>3.79</v>
      </c>
      <c r="G151" s="2" t="s">
        <v>18</v>
      </c>
      <c r="H151" s="2">
        <v>619</v>
      </c>
      <c r="I151" s="2">
        <v>4.96</v>
      </c>
    </row>
    <row r="152" spans="1:9" x14ac:dyDescent="0.25">
      <c r="A152" s="2" t="s">
        <v>23</v>
      </c>
      <c r="B152" s="2" t="s">
        <v>24</v>
      </c>
      <c r="C152" s="3">
        <v>43837</v>
      </c>
      <c r="D152" s="2">
        <v>7831</v>
      </c>
      <c r="E152" s="2">
        <v>805</v>
      </c>
      <c r="F152" s="2">
        <v>5.16</v>
      </c>
      <c r="G152" s="2" t="s">
        <v>17</v>
      </c>
      <c r="H152" s="2">
        <v>876</v>
      </c>
      <c r="I152" s="2">
        <v>1.02</v>
      </c>
    </row>
    <row r="153" spans="1:9" x14ac:dyDescent="0.25">
      <c r="A153" s="2" t="s">
        <v>23</v>
      </c>
      <c r="B153" s="2" t="s">
        <v>24</v>
      </c>
      <c r="C153" s="3">
        <v>43838</v>
      </c>
      <c r="D153" s="2">
        <v>7781</v>
      </c>
      <c r="E153" s="2">
        <v>1070</v>
      </c>
      <c r="F153" s="2">
        <v>2.97</v>
      </c>
      <c r="G153" s="2" t="s">
        <v>18</v>
      </c>
      <c r="H153" s="2">
        <v>820</v>
      </c>
      <c r="I153" s="2">
        <v>3.29</v>
      </c>
    </row>
    <row r="154" spans="1:9" x14ac:dyDescent="0.25">
      <c r="A154" s="2" t="s">
        <v>23</v>
      </c>
      <c r="B154" s="2" t="s">
        <v>24</v>
      </c>
      <c r="C154" s="3">
        <v>43839</v>
      </c>
      <c r="D154" s="2">
        <v>6186</v>
      </c>
      <c r="E154" s="2">
        <v>1058</v>
      </c>
      <c r="F154" s="2">
        <v>5.57</v>
      </c>
      <c r="G154" s="2" t="s">
        <v>21</v>
      </c>
      <c r="H154" s="2">
        <v>573</v>
      </c>
      <c r="I154" s="2">
        <v>0.31</v>
      </c>
    </row>
    <row r="155" spans="1:9" x14ac:dyDescent="0.25">
      <c r="A155" s="2" t="s">
        <v>23</v>
      </c>
      <c r="B155" s="2" t="s">
        <v>24</v>
      </c>
      <c r="C155" s="3">
        <v>43840</v>
      </c>
      <c r="D155" s="2">
        <v>4036</v>
      </c>
      <c r="E155" s="2">
        <v>405</v>
      </c>
      <c r="F155" s="2">
        <v>7.01</v>
      </c>
      <c r="G155" s="2" t="s">
        <v>20</v>
      </c>
      <c r="H155" s="2">
        <v>402</v>
      </c>
      <c r="I155" s="2">
        <v>6.11</v>
      </c>
    </row>
    <row r="156" spans="1:9" x14ac:dyDescent="0.25">
      <c r="A156" s="2" t="s">
        <v>23</v>
      </c>
      <c r="B156" s="2" t="s">
        <v>24</v>
      </c>
      <c r="C156" s="3">
        <v>43841</v>
      </c>
      <c r="D156" s="2">
        <v>4494</v>
      </c>
      <c r="E156" s="2">
        <v>721</v>
      </c>
      <c r="F156" s="2">
        <v>2.67</v>
      </c>
      <c r="G156" s="2" t="s">
        <v>17</v>
      </c>
      <c r="H156" s="2">
        <v>530</v>
      </c>
      <c r="I156" s="2">
        <v>6.56</v>
      </c>
    </row>
    <row r="157" spans="1:9" x14ac:dyDescent="0.25">
      <c r="A157" s="2" t="s">
        <v>23</v>
      </c>
      <c r="B157" s="2" t="s">
        <v>24</v>
      </c>
      <c r="C157" s="3">
        <v>43842</v>
      </c>
      <c r="D157" s="2">
        <v>8434</v>
      </c>
      <c r="E157" s="2">
        <v>483</v>
      </c>
      <c r="F157" s="2">
        <v>3.68</v>
      </c>
      <c r="G157" s="2" t="s">
        <v>17</v>
      </c>
      <c r="H157" s="2">
        <v>968</v>
      </c>
      <c r="I157" s="2">
        <v>9.32</v>
      </c>
    </row>
    <row r="158" spans="1:9" x14ac:dyDescent="0.25">
      <c r="A158" s="2" t="s">
        <v>23</v>
      </c>
      <c r="B158" s="2" t="s">
        <v>24</v>
      </c>
      <c r="C158" s="3">
        <v>44197</v>
      </c>
      <c r="D158" s="2">
        <v>8224</v>
      </c>
      <c r="E158" s="2">
        <v>487</v>
      </c>
      <c r="F158" s="2">
        <v>6.49</v>
      </c>
      <c r="G158" s="2" t="s">
        <v>20</v>
      </c>
      <c r="H158" s="2">
        <v>901</v>
      </c>
      <c r="I158" s="2">
        <v>9.58</v>
      </c>
    </row>
    <row r="159" spans="1:9" x14ac:dyDescent="0.25">
      <c r="A159" s="2" t="s">
        <v>23</v>
      </c>
      <c r="B159" s="2" t="s">
        <v>24</v>
      </c>
      <c r="C159" s="3">
        <v>44198</v>
      </c>
      <c r="D159" s="2">
        <v>3558</v>
      </c>
      <c r="E159" s="2">
        <v>504</v>
      </c>
      <c r="F159" s="2">
        <v>4.04</v>
      </c>
      <c r="G159" s="2" t="s">
        <v>18</v>
      </c>
      <c r="H159" s="2">
        <v>855</v>
      </c>
      <c r="I159" s="2">
        <v>8.09</v>
      </c>
    </row>
    <row r="160" spans="1:9" x14ac:dyDescent="0.25">
      <c r="A160" s="2" t="s">
        <v>23</v>
      </c>
      <c r="B160" s="2" t="s">
        <v>24</v>
      </c>
      <c r="C160" s="3">
        <v>44199</v>
      </c>
      <c r="D160" s="2">
        <v>3087</v>
      </c>
      <c r="E160" s="2">
        <v>344</v>
      </c>
      <c r="F160" s="2">
        <v>7.71</v>
      </c>
      <c r="G160" s="2" t="s">
        <v>18</v>
      </c>
      <c r="H160" s="2">
        <v>789</v>
      </c>
      <c r="I160" s="2">
        <v>3.03</v>
      </c>
    </row>
    <row r="161" spans="1:9" x14ac:dyDescent="0.25">
      <c r="A161" s="2" t="s">
        <v>23</v>
      </c>
      <c r="B161" s="2" t="s">
        <v>24</v>
      </c>
      <c r="C161" s="3">
        <v>44200</v>
      </c>
      <c r="D161" s="2">
        <v>8298</v>
      </c>
      <c r="E161" s="2">
        <v>1177</v>
      </c>
      <c r="F161" s="2">
        <v>9.85</v>
      </c>
      <c r="G161" s="2" t="s">
        <v>21</v>
      </c>
      <c r="H161" s="2">
        <v>676</v>
      </c>
      <c r="I161" s="2">
        <v>1.98</v>
      </c>
    </row>
    <row r="162" spans="1:9" x14ac:dyDescent="0.25">
      <c r="A162" s="2" t="s">
        <v>23</v>
      </c>
      <c r="B162" s="2" t="s">
        <v>24</v>
      </c>
      <c r="C162" s="3">
        <v>44201</v>
      </c>
      <c r="D162" s="2">
        <v>3406</v>
      </c>
      <c r="E162" s="2">
        <v>661</v>
      </c>
      <c r="F162" s="2">
        <v>7.23</v>
      </c>
      <c r="G162" s="2" t="s">
        <v>18</v>
      </c>
      <c r="H162" s="2">
        <v>368</v>
      </c>
      <c r="I162" s="2">
        <v>5.3</v>
      </c>
    </row>
    <row r="163" spans="1:9" x14ac:dyDescent="0.25">
      <c r="A163" s="2" t="s">
        <v>23</v>
      </c>
      <c r="B163" s="2" t="s">
        <v>24</v>
      </c>
      <c r="C163" s="3">
        <v>44202</v>
      </c>
      <c r="D163" s="2">
        <v>8506</v>
      </c>
      <c r="E163" s="2">
        <v>789</v>
      </c>
      <c r="F163" s="2">
        <v>5.46</v>
      </c>
      <c r="G163" s="2" t="s">
        <v>21</v>
      </c>
      <c r="H163" s="2">
        <v>749</v>
      </c>
      <c r="I163" s="2">
        <v>0.33</v>
      </c>
    </row>
    <row r="164" spans="1:9" x14ac:dyDescent="0.25">
      <c r="A164" s="2" t="s">
        <v>23</v>
      </c>
      <c r="B164" s="2" t="s">
        <v>24</v>
      </c>
      <c r="C164" s="3">
        <v>44203</v>
      </c>
      <c r="D164" s="2">
        <v>9890</v>
      </c>
      <c r="E164" s="2">
        <v>604</v>
      </c>
      <c r="F164" s="2">
        <v>8.68</v>
      </c>
      <c r="G164" s="2" t="s">
        <v>17</v>
      </c>
      <c r="H164" s="2">
        <v>275</v>
      </c>
      <c r="I164" s="2">
        <v>6.2</v>
      </c>
    </row>
    <row r="165" spans="1:9" x14ac:dyDescent="0.25">
      <c r="A165" s="2" t="s">
        <v>23</v>
      </c>
      <c r="B165" s="2" t="s">
        <v>24</v>
      </c>
      <c r="C165" s="3">
        <v>44204</v>
      </c>
      <c r="D165" s="2">
        <v>7569</v>
      </c>
      <c r="E165" s="2">
        <v>1044</v>
      </c>
      <c r="F165" s="2">
        <v>5.46</v>
      </c>
      <c r="G165" s="2" t="s">
        <v>17</v>
      </c>
      <c r="H165" s="2">
        <v>860</v>
      </c>
      <c r="I165" s="2">
        <v>3.16</v>
      </c>
    </row>
    <row r="166" spans="1:9" x14ac:dyDescent="0.25">
      <c r="A166" s="2" t="s">
        <v>23</v>
      </c>
      <c r="B166" s="2" t="s">
        <v>24</v>
      </c>
      <c r="C166" s="3">
        <v>44205</v>
      </c>
      <c r="D166" s="2">
        <v>9680</v>
      </c>
      <c r="E166" s="2">
        <v>302</v>
      </c>
      <c r="F166" s="2">
        <v>1.41</v>
      </c>
      <c r="G166" s="2" t="s">
        <v>21</v>
      </c>
      <c r="H166" s="2">
        <v>256</v>
      </c>
      <c r="I166" s="2">
        <v>5.96</v>
      </c>
    </row>
    <row r="167" spans="1:9" x14ac:dyDescent="0.25">
      <c r="A167" s="2" t="s">
        <v>23</v>
      </c>
      <c r="B167" s="2" t="s">
        <v>24</v>
      </c>
      <c r="C167" s="3">
        <v>44206</v>
      </c>
      <c r="D167" s="2">
        <v>7340</v>
      </c>
      <c r="E167" s="2">
        <v>1052</v>
      </c>
      <c r="F167" s="2">
        <v>8.35</v>
      </c>
      <c r="G167" s="2" t="s">
        <v>17</v>
      </c>
      <c r="H167" s="2">
        <v>287</v>
      </c>
      <c r="I167" s="2">
        <v>4</v>
      </c>
    </row>
    <row r="168" spans="1:9" x14ac:dyDescent="0.25">
      <c r="A168" s="2" t="s">
        <v>23</v>
      </c>
      <c r="B168" s="2" t="s">
        <v>24</v>
      </c>
      <c r="C168" s="3">
        <v>44207</v>
      </c>
      <c r="D168" s="2">
        <v>4992</v>
      </c>
      <c r="E168" s="2">
        <v>1186</v>
      </c>
      <c r="F168" s="2">
        <v>4.28</v>
      </c>
      <c r="G168" s="2" t="s">
        <v>21</v>
      </c>
      <c r="H168" s="2">
        <v>748</v>
      </c>
      <c r="I168" s="2">
        <v>9.66</v>
      </c>
    </row>
    <row r="169" spans="1:9" x14ac:dyDescent="0.25">
      <c r="A169" s="2" t="s">
        <v>23</v>
      </c>
      <c r="B169" s="2" t="s">
        <v>24</v>
      </c>
      <c r="C169" s="3">
        <v>44208</v>
      </c>
      <c r="D169" s="2">
        <v>3296</v>
      </c>
      <c r="E169" s="2">
        <v>1142</v>
      </c>
      <c r="F169" s="2">
        <v>9.57</v>
      </c>
      <c r="G169" s="2" t="s">
        <v>17</v>
      </c>
      <c r="H169" s="2">
        <v>740</v>
      </c>
      <c r="I169" s="2">
        <v>9.2899999999999991</v>
      </c>
    </row>
    <row r="170" spans="1:9" x14ac:dyDescent="0.25">
      <c r="A170" s="2" t="s">
        <v>23</v>
      </c>
      <c r="B170" s="2" t="s">
        <v>24</v>
      </c>
      <c r="C170" s="3">
        <v>44562</v>
      </c>
      <c r="D170" s="2">
        <v>8688</v>
      </c>
      <c r="E170" s="2">
        <v>845</v>
      </c>
      <c r="F170" s="2">
        <v>4.26</v>
      </c>
      <c r="G170" s="2" t="s">
        <v>21</v>
      </c>
      <c r="H170" s="2">
        <v>912</v>
      </c>
      <c r="I170" s="2">
        <v>3.44</v>
      </c>
    </row>
    <row r="171" spans="1:9" x14ac:dyDescent="0.25">
      <c r="A171" s="2" t="s">
        <v>23</v>
      </c>
      <c r="B171" s="2" t="s">
        <v>24</v>
      </c>
      <c r="C171" s="3">
        <v>44563</v>
      </c>
      <c r="D171" s="2">
        <v>6868</v>
      </c>
      <c r="E171" s="2">
        <v>1141</v>
      </c>
      <c r="F171" s="2">
        <v>5.95</v>
      </c>
      <c r="G171" s="2" t="s">
        <v>17</v>
      </c>
      <c r="H171" s="2">
        <v>69</v>
      </c>
      <c r="I171" s="2">
        <v>9.8699999999999992</v>
      </c>
    </row>
    <row r="172" spans="1:9" x14ac:dyDescent="0.25">
      <c r="A172" s="2" t="s">
        <v>23</v>
      </c>
      <c r="B172" s="2" t="s">
        <v>24</v>
      </c>
      <c r="C172" s="3">
        <v>44564</v>
      </c>
      <c r="D172" s="2">
        <v>4099</v>
      </c>
      <c r="E172" s="2">
        <v>648</v>
      </c>
      <c r="F172" s="2">
        <v>1.61</v>
      </c>
      <c r="G172" s="2" t="s">
        <v>20</v>
      </c>
      <c r="H172" s="2">
        <v>944</v>
      </c>
      <c r="I172" s="2">
        <v>2.8</v>
      </c>
    </row>
    <row r="173" spans="1:9" x14ac:dyDescent="0.25">
      <c r="A173" s="2" t="s">
        <v>23</v>
      </c>
      <c r="B173" s="2" t="s">
        <v>24</v>
      </c>
      <c r="C173" s="3">
        <v>44565</v>
      </c>
      <c r="D173" s="2">
        <v>6727</v>
      </c>
      <c r="E173" s="2">
        <v>506</v>
      </c>
      <c r="F173" s="2">
        <v>9.6999999999999993</v>
      </c>
      <c r="G173" s="2" t="s">
        <v>17</v>
      </c>
      <c r="H173" s="2">
        <v>183</v>
      </c>
      <c r="I173" s="2">
        <v>1.46</v>
      </c>
    </row>
    <row r="174" spans="1:9" x14ac:dyDescent="0.25">
      <c r="A174" s="2" t="s">
        <v>23</v>
      </c>
      <c r="B174" s="2" t="s">
        <v>24</v>
      </c>
      <c r="C174" s="3">
        <v>44566</v>
      </c>
      <c r="D174" s="2">
        <v>6273</v>
      </c>
      <c r="E174" s="2">
        <v>692</v>
      </c>
      <c r="F174" s="2">
        <v>7.16</v>
      </c>
      <c r="G174" s="2" t="s">
        <v>20</v>
      </c>
      <c r="H174" s="2">
        <v>136</v>
      </c>
      <c r="I174" s="2">
        <v>5.6</v>
      </c>
    </row>
    <row r="175" spans="1:9" x14ac:dyDescent="0.25">
      <c r="A175" s="2" t="s">
        <v>23</v>
      </c>
      <c r="B175" s="2" t="s">
        <v>24</v>
      </c>
      <c r="C175" s="3">
        <v>44567</v>
      </c>
      <c r="D175" s="2">
        <v>8532</v>
      </c>
      <c r="E175" s="2">
        <v>881</v>
      </c>
      <c r="F175" s="2">
        <v>5.42</v>
      </c>
      <c r="G175" s="2" t="s">
        <v>18</v>
      </c>
      <c r="H175" s="2">
        <v>522</v>
      </c>
      <c r="I175" s="2">
        <v>4.16</v>
      </c>
    </row>
    <row r="176" spans="1:9" x14ac:dyDescent="0.25">
      <c r="A176" s="2" t="s">
        <v>23</v>
      </c>
      <c r="B176" s="2" t="s">
        <v>24</v>
      </c>
      <c r="C176" s="3">
        <v>44568</v>
      </c>
      <c r="D176" s="2">
        <v>6254</v>
      </c>
      <c r="E176" s="2">
        <v>436</v>
      </c>
      <c r="F176" s="2">
        <v>1.44</v>
      </c>
      <c r="G176" s="2" t="s">
        <v>17</v>
      </c>
      <c r="H176" s="2">
        <v>411</v>
      </c>
      <c r="I176" s="2">
        <v>9.49</v>
      </c>
    </row>
    <row r="177" spans="1:9" x14ac:dyDescent="0.25">
      <c r="A177" s="2" t="s">
        <v>23</v>
      </c>
      <c r="B177" s="2" t="s">
        <v>24</v>
      </c>
      <c r="C177" s="3">
        <v>44569</v>
      </c>
      <c r="D177" s="2">
        <v>8322</v>
      </c>
      <c r="E177" s="2">
        <v>291</v>
      </c>
      <c r="F177" s="2">
        <v>9.89</v>
      </c>
      <c r="G177" s="2" t="s">
        <v>17</v>
      </c>
      <c r="H177" s="2">
        <v>596</v>
      </c>
      <c r="I177" s="2">
        <v>1.37</v>
      </c>
    </row>
    <row r="178" spans="1:9" x14ac:dyDescent="0.25">
      <c r="A178" s="2" t="s">
        <v>23</v>
      </c>
      <c r="B178" s="2" t="s">
        <v>24</v>
      </c>
      <c r="C178" s="3">
        <v>44570</v>
      </c>
      <c r="D178" s="2">
        <v>8421</v>
      </c>
      <c r="E178" s="2">
        <v>463</v>
      </c>
      <c r="F178" s="2">
        <v>4.71</v>
      </c>
      <c r="G178" s="2" t="s">
        <v>20</v>
      </c>
      <c r="H178" s="2">
        <v>992</v>
      </c>
      <c r="I178" s="2">
        <v>3.48</v>
      </c>
    </row>
    <row r="179" spans="1:9" x14ac:dyDescent="0.25">
      <c r="A179" s="2" t="s">
        <v>23</v>
      </c>
      <c r="B179" s="2" t="s">
        <v>24</v>
      </c>
      <c r="C179" s="3">
        <v>44571</v>
      </c>
      <c r="D179" s="2">
        <v>9984</v>
      </c>
      <c r="E179" s="2">
        <v>352</v>
      </c>
      <c r="F179" s="2">
        <v>9.1999999999999993</v>
      </c>
      <c r="G179" s="2" t="s">
        <v>18</v>
      </c>
      <c r="H179" s="2">
        <v>208</v>
      </c>
      <c r="I179" s="2">
        <v>4.84</v>
      </c>
    </row>
    <row r="180" spans="1:9" x14ac:dyDescent="0.25">
      <c r="A180" s="2" t="s">
        <v>23</v>
      </c>
      <c r="B180" s="2" t="s">
        <v>24</v>
      </c>
      <c r="C180" s="3">
        <v>44572</v>
      </c>
      <c r="D180" s="2">
        <v>9361</v>
      </c>
      <c r="E180" s="2">
        <v>670</v>
      </c>
      <c r="F180" s="2">
        <v>3.12</v>
      </c>
      <c r="G180" s="2" t="s">
        <v>17</v>
      </c>
      <c r="H180" s="2">
        <v>719</v>
      </c>
      <c r="I180" s="2">
        <v>4.5</v>
      </c>
    </row>
    <row r="181" spans="1:9" x14ac:dyDescent="0.25">
      <c r="A181" s="2" t="s">
        <v>23</v>
      </c>
      <c r="B181" s="2" t="s">
        <v>24</v>
      </c>
      <c r="C181" s="3">
        <v>44573</v>
      </c>
      <c r="D181" s="2">
        <v>7525</v>
      </c>
      <c r="E181" s="2">
        <v>313</v>
      </c>
      <c r="F181" s="2">
        <v>6.81</v>
      </c>
      <c r="G181" s="2" t="s">
        <v>21</v>
      </c>
      <c r="H181" s="2">
        <v>242</v>
      </c>
      <c r="I181" s="2">
        <v>7.14</v>
      </c>
    </row>
    <row r="182" spans="1:9" x14ac:dyDescent="0.25">
      <c r="A182" s="2" t="s">
        <v>23</v>
      </c>
      <c r="B182" s="2" t="s">
        <v>24</v>
      </c>
      <c r="C182" s="3">
        <v>44927</v>
      </c>
      <c r="D182" s="2">
        <v>4578</v>
      </c>
      <c r="E182" s="2">
        <v>362</v>
      </c>
      <c r="F182" s="2">
        <v>6.47</v>
      </c>
      <c r="G182" s="2" t="s">
        <v>18</v>
      </c>
      <c r="H182" s="2">
        <v>514</v>
      </c>
      <c r="I182" s="2">
        <v>0.36</v>
      </c>
    </row>
    <row r="183" spans="1:9" x14ac:dyDescent="0.25">
      <c r="A183" s="2" t="s">
        <v>23</v>
      </c>
      <c r="B183" s="2" t="s">
        <v>24</v>
      </c>
      <c r="C183" s="3">
        <v>44928</v>
      </c>
      <c r="D183" s="2">
        <v>3932</v>
      </c>
      <c r="E183" s="2">
        <v>564</v>
      </c>
      <c r="F183" s="2">
        <v>2.5299999999999998</v>
      </c>
      <c r="G183" s="2" t="s">
        <v>20</v>
      </c>
      <c r="H183" s="2">
        <v>645</v>
      </c>
      <c r="I183" s="2">
        <v>9.0500000000000007</v>
      </c>
    </row>
    <row r="184" spans="1:9" x14ac:dyDescent="0.25">
      <c r="A184" s="2" t="s">
        <v>23</v>
      </c>
      <c r="B184" s="2" t="s">
        <v>24</v>
      </c>
      <c r="C184" s="3">
        <v>44929</v>
      </c>
      <c r="D184" s="2">
        <v>6928</v>
      </c>
      <c r="E184" s="2">
        <v>1026</v>
      </c>
      <c r="F184" s="2">
        <v>5.18</v>
      </c>
      <c r="G184" s="2" t="s">
        <v>21</v>
      </c>
      <c r="H184" s="2">
        <v>280</v>
      </c>
      <c r="I184" s="2">
        <v>3.63</v>
      </c>
    </row>
    <row r="185" spans="1:9" x14ac:dyDescent="0.25">
      <c r="A185" s="2" t="s">
        <v>23</v>
      </c>
      <c r="B185" s="2" t="s">
        <v>24</v>
      </c>
      <c r="C185" s="3">
        <v>44930</v>
      </c>
      <c r="D185" s="2">
        <v>8233</v>
      </c>
      <c r="E185" s="2">
        <v>389</v>
      </c>
      <c r="F185" s="2">
        <v>6.45</v>
      </c>
      <c r="G185" s="2" t="s">
        <v>20</v>
      </c>
      <c r="H185" s="2">
        <v>603</v>
      </c>
      <c r="I185" s="2">
        <v>5</v>
      </c>
    </row>
    <row r="186" spans="1:9" x14ac:dyDescent="0.25">
      <c r="A186" s="2" t="s">
        <v>23</v>
      </c>
      <c r="B186" s="2" t="s">
        <v>24</v>
      </c>
      <c r="C186" s="3">
        <v>44931</v>
      </c>
      <c r="D186" s="2">
        <v>8592</v>
      </c>
      <c r="E186" s="2">
        <v>490</v>
      </c>
      <c r="F186" s="2">
        <v>3.75</v>
      </c>
      <c r="G186" s="2" t="s">
        <v>18</v>
      </c>
      <c r="H186" s="2">
        <v>72</v>
      </c>
      <c r="I186" s="2">
        <v>1.01</v>
      </c>
    </row>
    <row r="187" spans="1:9" x14ac:dyDescent="0.25">
      <c r="A187" s="2" t="s">
        <v>23</v>
      </c>
      <c r="B187" s="2" t="s">
        <v>24</v>
      </c>
      <c r="C187" s="3">
        <v>44932</v>
      </c>
      <c r="D187" s="2">
        <v>9540</v>
      </c>
      <c r="E187" s="2">
        <v>754</v>
      </c>
      <c r="F187" s="2">
        <v>4.5999999999999996</v>
      </c>
      <c r="G187" s="2" t="s">
        <v>18</v>
      </c>
      <c r="H187" s="2">
        <v>308</v>
      </c>
      <c r="I187" s="2">
        <v>4.47</v>
      </c>
    </row>
    <row r="188" spans="1:9" x14ac:dyDescent="0.25">
      <c r="A188" s="2" t="s">
        <v>23</v>
      </c>
      <c r="B188" s="2" t="s">
        <v>24</v>
      </c>
      <c r="C188" s="3">
        <v>44933</v>
      </c>
      <c r="D188" s="2">
        <v>9450</v>
      </c>
      <c r="E188" s="2">
        <v>703</v>
      </c>
      <c r="F188" s="2">
        <v>6.87</v>
      </c>
      <c r="G188" s="2" t="s">
        <v>21</v>
      </c>
      <c r="H188" s="2">
        <v>933</v>
      </c>
      <c r="I188" s="2">
        <v>9.11</v>
      </c>
    </row>
    <row r="189" spans="1:9" x14ac:dyDescent="0.25">
      <c r="A189" s="2" t="s">
        <v>23</v>
      </c>
      <c r="B189" s="2" t="s">
        <v>24</v>
      </c>
      <c r="C189" s="3">
        <v>44934</v>
      </c>
      <c r="D189" s="2">
        <v>5869</v>
      </c>
      <c r="E189" s="2">
        <v>505</v>
      </c>
      <c r="F189" s="2">
        <v>6.47</v>
      </c>
      <c r="G189" s="2" t="s">
        <v>20</v>
      </c>
      <c r="H189" s="2">
        <v>912</v>
      </c>
      <c r="I189" s="2">
        <v>3.22</v>
      </c>
    </row>
    <row r="190" spans="1:9" x14ac:dyDescent="0.25">
      <c r="A190" s="2" t="s">
        <v>23</v>
      </c>
      <c r="B190" s="2" t="s">
        <v>24</v>
      </c>
      <c r="C190" s="3">
        <v>44935</v>
      </c>
      <c r="D190" s="2">
        <v>4380</v>
      </c>
      <c r="E190" s="2">
        <v>756</v>
      </c>
      <c r="F190" s="2">
        <v>7.37</v>
      </c>
      <c r="G190" s="2" t="s">
        <v>21</v>
      </c>
      <c r="H190" s="2">
        <v>236</v>
      </c>
      <c r="I190" s="2">
        <v>1.17</v>
      </c>
    </row>
    <row r="191" spans="1:9" x14ac:dyDescent="0.25">
      <c r="A191" s="2" t="s">
        <v>23</v>
      </c>
      <c r="B191" s="2" t="s">
        <v>24</v>
      </c>
      <c r="C191" s="3">
        <v>44936</v>
      </c>
      <c r="D191" s="2">
        <v>7092</v>
      </c>
      <c r="E191" s="2">
        <v>229</v>
      </c>
      <c r="F191" s="2">
        <v>9.52</v>
      </c>
      <c r="G191" s="2" t="s">
        <v>21</v>
      </c>
      <c r="H191" s="2">
        <v>731</v>
      </c>
      <c r="I191" s="2">
        <v>0.91</v>
      </c>
    </row>
    <row r="192" spans="1:9" x14ac:dyDescent="0.25">
      <c r="A192" s="2" t="s">
        <v>23</v>
      </c>
      <c r="B192" s="2" t="s">
        <v>24</v>
      </c>
      <c r="C192" s="3">
        <v>44937</v>
      </c>
      <c r="D192" s="2">
        <v>9365</v>
      </c>
      <c r="E192" s="2">
        <v>324</v>
      </c>
      <c r="F192" s="2">
        <v>5.41</v>
      </c>
      <c r="G192" s="2" t="s">
        <v>17</v>
      </c>
      <c r="H192" s="2">
        <v>70</v>
      </c>
      <c r="I192" s="2">
        <v>3.52</v>
      </c>
    </row>
    <row r="193" spans="1:9" x14ac:dyDescent="0.25">
      <c r="A193" s="2" t="s">
        <v>23</v>
      </c>
      <c r="B193" s="2" t="s">
        <v>24</v>
      </c>
      <c r="C193" s="3">
        <v>44938</v>
      </c>
      <c r="D193" s="2">
        <v>5828</v>
      </c>
      <c r="E193" s="2">
        <v>383</v>
      </c>
      <c r="F193" s="2">
        <v>3.92</v>
      </c>
      <c r="G193" s="2" t="s">
        <v>17</v>
      </c>
      <c r="H193" s="2">
        <v>987</v>
      </c>
      <c r="I193" s="2">
        <v>3.91</v>
      </c>
    </row>
    <row r="194" spans="1:9" x14ac:dyDescent="0.25">
      <c r="A194" s="2" t="s">
        <v>23</v>
      </c>
      <c r="B194" s="2" t="s">
        <v>24</v>
      </c>
      <c r="C194" s="3">
        <v>45292</v>
      </c>
      <c r="D194" s="2">
        <v>6507</v>
      </c>
      <c r="E194" s="2">
        <v>637</v>
      </c>
      <c r="F194" s="2">
        <v>9.84</v>
      </c>
      <c r="G194" s="2" t="s">
        <v>20</v>
      </c>
      <c r="H194" s="2">
        <v>982</v>
      </c>
      <c r="I194" s="2">
        <v>9.7899999999999991</v>
      </c>
    </row>
    <row r="195" spans="1:9" x14ac:dyDescent="0.25">
      <c r="A195" s="2" t="s">
        <v>23</v>
      </c>
      <c r="B195" s="2" t="s">
        <v>24</v>
      </c>
      <c r="C195" s="3">
        <v>45293</v>
      </c>
      <c r="D195" s="2">
        <v>6035</v>
      </c>
      <c r="E195" s="2">
        <v>1107</v>
      </c>
      <c r="F195" s="2">
        <v>9.4</v>
      </c>
      <c r="G195" s="2" t="s">
        <v>21</v>
      </c>
      <c r="H195" s="2">
        <v>115</v>
      </c>
      <c r="I195" s="2">
        <v>9.66</v>
      </c>
    </row>
    <row r="196" spans="1:9" x14ac:dyDescent="0.25">
      <c r="A196" s="2" t="s">
        <v>23</v>
      </c>
      <c r="B196" s="2" t="s">
        <v>24</v>
      </c>
      <c r="C196" s="3">
        <v>45294</v>
      </c>
      <c r="D196" s="2">
        <v>5525</v>
      </c>
      <c r="E196" s="2">
        <v>305</v>
      </c>
      <c r="F196" s="2">
        <v>4.16</v>
      </c>
      <c r="G196" s="2" t="s">
        <v>17</v>
      </c>
      <c r="H196" s="2">
        <v>243</v>
      </c>
      <c r="I196" s="2">
        <v>8.57</v>
      </c>
    </row>
    <row r="197" spans="1:9" x14ac:dyDescent="0.25">
      <c r="A197" s="2" t="s">
        <v>23</v>
      </c>
      <c r="B197" s="2" t="s">
        <v>24</v>
      </c>
      <c r="C197" s="3">
        <v>45295</v>
      </c>
      <c r="D197" s="2">
        <v>4063</v>
      </c>
      <c r="E197" s="2">
        <v>572</v>
      </c>
      <c r="F197" s="2">
        <v>1.04</v>
      </c>
      <c r="G197" s="2" t="s">
        <v>20</v>
      </c>
      <c r="H197" s="2">
        <v>802</v>
      </c>
      <c r="I197" s="2">
        <v>4.7699999999999996</v>
      </c>
    </row>
    <row r="198" spans="1:9" x14ac:dyDescent="0.25">
      <c r="A198" s="2" t="s">
        <v>23</v>
      </c>
      <c r="B198" s="2" t="s">
        <v>24</v>
      </c>
      <c r="C198" s="3">
        <v>45296</v>
      </c>
      <c r="D198" s="2">
        <v>5711</v>
      </c>
      <c r="E198" s="2">
        <v>241</v>
      </c>
      <c r="F198" s="2">
        <v>1.04</v>
      </c>
      <c r="G198" s="2" t="s">
        <v>21</v>
      </c>
      <c r="H198" s="2">
        <v>990</v>
      </c>
      <c r="I198" s="2">
        <v>4.21</v>
      </c>
    </row>
    <row r="199" spans="1:9" x14ac:dyDescent="0.25">
      <c r="A199" s="2" t="s">
        <v>23</v>
      </c>
      <c r="B199" s="2" t="s">
        <v>24</v>
      </c>
      <c r="C199" s="3">
        <v>45297</v>
      </c>
      <c r="D199" s="2">
        <v>3061</v>
      </c>
      <c r="E199" s="2">
        <v>1196</v>
      </c>
      <c r="F199" s="2">
        <v>2.93</v>
      </c>
      <c r="G199" s="2" t="s">
        <v>17</v>
      </c>
      <c r="H199" s="2">
        <v>491</v>
      </c>
      <c r="I199" s="2">
        <v>4.01</v>
      </c>
    </row>
    <row r="200" spans="1:9" x14ac:dyDescent="0.25">
      <c r="A200" s="2" t="s">
        <v>23</v>
      </c>
      <c r="B200" s="2" t="s">
        <v>24</v>
      </c>
      <c r="C200" s="3">
        <v>45298</v>
      </c>
      <c r="D200" s="2">
        <v>7753</v>
      </c>
      <c r="E200" s="2">
        <v>416</v>
      </c>
      <c r="F200" s="2">
        <v>8.7200000000000006</v>
      </c>
      <c r="G200" s="2" t="s">
        <v>21</v>
      </c>
      <c r="H200" s="2">
        <v>334</v>
      </c>
      <c r="I200" s="2">
        <v>0.48</v>
      </c>
    </row>
    <row r="201" spans="1:9" x14ac:dyDescent="0.25">
      <c r="A201" s="2" t="s">
        <v>23</v>
      </c>
      <c r="B201" s="2" t="s">
        <v>24</v>
      </c>
      <c r="C201" s="3">
        <v>45299</v>
      </c>
      <c r="D201" s="2">
        <v>7745</v>
      </c>
      <c r="E201" s="2">
        <v>333</v>
      </c>
      <c r="F201" s="2">
        <v>7.63</v>
      </c>
      <c r="G201" s="2" t="s">
        <v>17</v>
      </c>
      <c r="H201" s="2">
        <v>878</v>
      </c>
      <c r="I201" s="2">
        <v>7.69</v>
      </c>
    </row>
    <row r="202" spans="1:9" x14ac:dyDescent="0.25">
      <c r="A202" s="2" t="s">
        <v>23</v>
      </c>
      <c r="B202" s="2" t="s">
        <v>24</v>
      </c>
      <c r="C202" s="3">
        <v>45300</v>
      </c>
      <c r="D202" s="2">
        <v>5173</v>
      </c>
      <c r="E202" s="2">
        <v>1163</v>
      </c>
      <c r="F202" s="2">
        <v>3.14</v>
      </c>
      <c r="G202" s="2" t="s">
        <v>17</v>
      </c>
      <c r="H202" s="2">
        <v>641</v>
      </c>
      <c r="I202" s="2">
        <v>1.6</v>
      </c>
    </row>
    <row r="203" spans="1:9" x14ac:dyDescent="0.25">
      <c r="A203" s="2" t="s">
        <v>23</v>
      </c>
      <c r="B203" s="2" t="s">
        <v>24</v>
      </c>
      <c r="C203" s="3">
        <v>45301</v>
      </c>
      <c r="D203" s="2">
        <v>3195</v>
      </c>
      <c r="E203" s="2">
        <v>955</v>
      </c>
      <c r="F203" s="2">
        <v>3.46</v>
      </c>
      <c r="G203" s="2" t="s">
        <v>21</v>
      </c>
      <c r="H203" s="2">
        <v>986</v>
      </c>
      <c r="I203" s="2">
        <v>3.64</v>
      </c>
    </row>
    <row r="204" spans="1:9" x14ac:dyDescent="0.25">
      <c r="A204" s="2" t="s">
        <v>23</v>
      </c>
      <c r="B204" s="2" t="s">
        <v>24</v>
      </c>
      <c r="C204" s="3">
        <v>45302</v>
      </c>
      <c r="D204" s="2">
        <v>9418</v>
      </c>
      <c r="E204" s="2">
        <v>1170</v>
      </c>
      <c r="F204" s="2">
        <v>7.93</v>
      </c>
      <c r="G204" s="2" t="s">
        <v>21</v>
      </c>
      <c r="H204" s="2">
        <v>186</v>
      </c>
      <c r="I204" s="2">
        <v>4.42</v>
      </c>
    </row>
    <row r="205" spans="1:9" x14ac:dyDescent="0.25">
      <c r="A205" s="2" t="s">
        <v>23</v>
      </c>
      <c r="B205" s="2" t="s">
        <v>24</v>
      </c>
      <c r="C205" s="3">
        <v>45303</v>
      </c>
      <c r="D205" s="2">
        <v>3709</v>
      </c>
      <c r="E205" s="2">
        <v>568</v>
      </c>
      <c r="F205" s="2">
        <v>5.54</v>
      </c>
      <c r="G205" s="2" t="s">
        <v>21</v>
      </c>
      <c r="H205" s="2">
        <v>379</v>
      </c>
      <c r="I205" s="2">
        <v>8.6999999999999993</v>
      </c>
    </row>
    <row r="206" spans="1:9" x14ac:dyDescent="0.25">
      <c r="A206" s="2" t="s">
        <v>23</v>
      </c>
      <c r="B206" s="2" t="s">
        <v>24</v>
      </c>
      <c r="C206" s="3">
        <v>45658</v>
      </c>
      <c r="D206" s="2">
        <v>7005</v>
      </c>
      <c r="E206" s="2">
        <v>611</v>
      </c>
      <c r="F206" s="2">
        <v>3.48</v>
      </c>
      <c r="G206" s="2" t="s">
        <v>20</v>
      </c>
      <c r="H206" s="2">
        <v>794</v>
      </c>
      <c r="I206" s="2">
        <v>5.81</v>
      </c>
    </row>
    <row r="207" spans="1:9" x14ac:dyDescent="0.25">
      <c r="A207" s="2" t="s">
        <v>23</v>
      </c>
      <c r="B207" s="2" t="s">
        <v>24</v>
      </c>
      <c r="C207" s="3">
        <v>45659</v>
      </c>
      <c r="D207" s="2">
        <v>3444</v>
      </c>
      <c r="E207" s="2">
        <v>321</v>
      </c>
      <c r="F207" s="2">
        <v>9.4499999999999993</v>
      </c>
      <c r="G207" s="2" t="s">
        <v>18</v>
      </c>
      <c r="H207" s="2">
        <v>864</v>
      </c>
      <c r="I207" s="2">
        <v>7.11</v>
      </c>
    </row>
    <row r="208" spans="1:9" x14ac:dyDescent="0.25">
      <c r="A208" s="2" t="s">
        <v>23</v>
      </c>
      <c r="B208" s="2" t="s">
        <v>24</v>
      </c>
      <c r="C208" s="3">
        <v>45660</v>
      </c>
      <c r="D208" s="2">
        <v>9132</v>
      </c>
      <c r="E208" s="2">
        <v>963</v>
      </c>
      <c r="F208" s="2">
        <v>1.59</v>
      </c>
      <c r="G208" s="2" t="s">
        <v>21</v>
      </c>
      <c r="H208" s="2">
        <v>357</v>
      </c>
      <c r="I208" s="2">
        <v>9.69</v>
      </c>
    </row>
    <row r="209" spans="1:9" x14ac:dyDescent="0.25">
      <c r="A209" s="2" t="s">
        <v>23</v>
      </c>
      <c r="B209" s="2" t="s">
        <v>24</v>
      </c>
      <c r="C209" s="3">
        <v>45661</v>
      </c>
      <c r="D209" s="2">
        <v>6890</v>
      </c>
      <c r="E209" s="2">
        <v>288</v>
      </c>
      <c r="F209" s="2">
        <v>8.85</v>
      </c>
      <c r="G209" s="2" t="s">
        <v>20</v>
      </c>
      <c r="H209" s="2">
        <v>748</v>
      </c>
      <c r="I209" s="2">
        <v>9.76</v>
      </c>
    </row>
    <row r="210" spans="1:9" x14ac:dyDescent="0.25">
      <c r="A210" s="2" t="s">
        <v>23</v>
      </c>
      <c r="B210" s="2" t="s">
        <v>24</v>
      </c>
      <c r="C210" s="3">
        <v>45662</v>
      </c>
      <c r="D210" s="2">
        <v>7464</v>
      </c>
      <c r="E210" s="2">
        <v>430</v>
      </c>
      <c r="F210" s="2">
        <v>2.59</v>
      </c>
      <c r="G210" s="2" t="s">
        <v>17</v>
      </c>
      <c r="H210" s="2">
        <v>516</v>
      </c>
      <c r="I210" s="2">
        <v>0.77</v>
      </c>
    </row>
    <row r="211" spans="1:9" x14ac:dyDescent="0.25">
      <c r="A211" s="2" t="s">
        <v>23</v>
      </c>
      <c r="B211" s="2" t="s">
        <v>24</v>
      </c>
      <c r="C211" s="3">
        <v>45663</v>
      </c>
      <c r="D211" s="2">
        <v>5074</v>
      </c>
      <c r="E211" s="2">
        <v>1020</v>
      </c>
      <c r="F211" s="2">
        <v>7.16</v>
      </c>
      <c r="G211" s="2" t="s">
        <v>20</v>
      </c>
      <c r="H211" s="2">
        <v>226</v>
      </c>
      <c r="I211" s="2">
        <v>9.5</v>
      </c>
    </row>
    <row r="212" spans="1:9" x14ac:dyDescent="0.25">
      <c r="A212" s="2" t="s">
        <v>23</v>
      </c>
      <c r="B212" s="2" t="s">
        <v>24</v>
      </c>
      <c r="C212" s="3">
        <v>45664</v>
      </c>
      <c r="D212" s="2">
        <v>5990</v>
      </c>
      <c r="E212" s="2">
        <v>651</v>
      </c>
      <c r="F212" s="2">
        <v>6.61</v>
      </c>
      <c r="G212" s="2" t="s">
        <v>20</v>
      </c>
      <c r="H212" s="2">
        <v>118</v>
      </c>
      <c r="I212" s="2">
        <v>9.6199999999999992</v>
      </c>
    </row>
    <row r="213" spans="1:9" x14ac:dyDescent="0.25">
      <c r="A213" s="2" t="s">
        <v>23</v>
      </c>
      <c r="B213" s="2" t="s">
        <v>24</v>
      </c>
      <c r="C213" s="3">
        <v>45665</v>
      </c>
      <c r="D213" s="2">
        <v>4227</v>
      </c>
      <c r="E213" s="2">
        <v>985</v>
      </c>
      <c r="F213" s="2">
        <v>8.85</v>
      </c>
      <c r="G213" s="2" t="s">
        <v>20</v>
      </c>
      <c r="H213" s="2">
        <v>376</v>
      </c>
      <c r="I213" s="2">
        <v>8.2100000000000009</v>
      </c>
    </row>
    <row r="214" spans="1:9" x14ac:dyDescent="0.25">
      <c r="A214" s="2" t="s">
        <v>23</v>
      </c>
      <c r="B214" s="2" t="s">
        <v>24</v>
      </c>
      <c r="C214" s="3">
        <v>45666</v>
      </c>
      <c r="D214" s="2">
        <v>4581</v>
      </c>
      <c r="E214" s="2">
        <v>440</v>
      </c>
      <c r="F214" s="2">
        <v>2.4</v>
      </c>
      <c r="G214" s="2" t="s">
        <v>21</v>
      </c>
      <c r="H214" s="2">
        <v>123</v>
      </c>
      <c r="I214" s="2">
        <v>5.33</v>
      </c>
    </row>
    <row r="215" spans="1:9" x14ac:dyDescent="0.25">
      <c r="A215" s="2" t="s">
        <v>23</v>
      </c>
      <c r="B215" s="2" t="s">
        <v>24</v>
      </c>
      <c r="C215" s="3">
        <v>45667</v>
      </c>
      <c r="D215" s="2">
        <v>9761</v>
      </c>
      <c r="E215" s="2">
        <v>867</v>
      </c>
      <c r="F215" s="2">
        <v>8.83</v>
      </c>
      <c r="G215" s="2" t="s">
        <v>20</v>
      </c>
      <c r="H215" s="2">
        <v>323</v>
      </c>
      <c r="I215" s="2">
        <v>9.01</v>
      </c>
    </row>
    <row r="216" spans="1:9" x14ac:dyDescent="0.25">
      <c r="A216" s="2" t="s">
        <v>23</v>
      </c>
      <c r="B216" s="2" t="s">
        <v>24</v>
      </c>
      <c r="C216" s="3">
        <v>45668</v>
      </c>
      <c r="D216" s="2">
        <v>4365</v>
      </c>
      <c r="E216" s="2">
        <v>478</v>
      </c>
      <c r="F216" s="2">
        <v>3.37</v>
      </c>
      <c r="G216" s="2" t="s">
        <v>18</v>
      </c>
      <c r="H216" s="2">
        <v>293</v>
      </c>
      <c r="I216" s="2">
        <v>6.14</v>
      </c>
    </row>
    <row r="217" spans="1:9" x14ac:dyDescent="0.25">
      <c r="A217" s="2" t="s">
        <v>23</v>
      </c>
      <c r="B217" s="2" t="s">
        <v>24</v>
      </c>
      <c r="C217" s="3">
        <v>45669</v>
      </c>
      <c r="D217" s="2">
        <v>9902</v>
      </c>
      <c r="E217" s="2">
        <v>1006</v>
      </c>
      <c r="F217" s="2">
        <v>2.0699999999999998</v>
      </c>
      <c r="G217" s="2" t="s">
        <v>21</v>
      </c>
      <c r="H217" s="2">
        <v>62</v>
      </c>
      <c r="I217" s="2">
        <v>6.51</v>
      </c>
    </row>
    <row r="218" spans="1:9" x14ac:dyDescent="0.25">
      <c r="A218" s="2" t="s">
        <v>23</v>
      </c>
      <c r="B218" s="2" t="s">
        <v>25</v>
      </c>
      <c r="C218" s="3">
        <v>43831</v>
      </c>
      <c r="D218" s="2">
        <v>3598</v>
      </c>
      <c r="E218" s="2">
        <v>734</v>
      </c>
      <c r="F218" s="2">
        <v>8.1199999999999992</v>
      </c>
      <c r="G218" s="2" t="s">
        <v>17</v>
      </c>
      <c r="H218" s="2">
        <v>997</v>
      </c>
      <c r="I218" s="2">
        <v>5.34</v>
      </c>
    </row>
    <row r="219" spans="1:9" x14ac:dyDescent="0.25">
      <c r="A219" s="2" t="s">
        <v>23</v>
      </c>
      <c r="B219" s="2" t="s">
        <v>25</v>
      </c>
      <c r="C219" s="3">
        <v>43832</v>
      </c>
      <c r="D219" s="2">
        <v>4416</v>
      </c>
      <c r="E219" s="2">
        <v>959</v>
      </c>
      <c r="F219" s="2">
        <v>4.92</v>
      </c>
      <c r="G219" s="2" t="s">
        <v>20</v>
      </c>
      <c r="H219" s="2">
        <v>337</v>
      </c>
      <c r="I219" s="2">
        <v>1.76</v>
      </c>
    </row>
    <row r="220" spans="1:9" x14ac:dyDescent="0.25">
      <c r="A220" s="2" t="s">
        <v>23</v>
      </c>
      <c r="B220" s="2" t="s">
        <v>25</v>
      </c>
      <c r="C220" s="3">
        <v>43833</v>
      </c>
      <c r="D220" s="2">
        <v>3154</v>
      </c>
      <c r="E220" s="2">
        <v>252</v>
      </c>
      <c r="F220" s="2">
        <v>9.4499999999999993</v>
      </c>
      <c r="G220" s="2" t="s">
        <v>17</v>
      </c>
      <c r="H220" s="2">
        <v>361</v>
      </c>
      <c r="I220" s="2">
        <v>4.76</v>
      </c>
    </row>
    <row r="221" spans="1:9" x14ac:dyDescent="0.25">
      <c r="A221" s="2" t="s">
        <v>23</v>
      </c>
      <c r="B221" s="2" t="s">
        <v>25</v>
      </c>
      <c r="C221" s="3">
        <v>43834</v>
      </c>
      <c r="D221" s="2">
        <v>7720</v>
      </c>
      <c r="E221" s="2">
        <v>266</v>
      </c>
      <c r="F221" s="2">
        <v>7.88</v>
      </c>
      <c r="G221" s="2" t="s">
        <v>17</v>
      </c>
      <c r="H221" s="2">
        <v>235</v>
      </c>
      <c r="I221" s="2">
        <v>5.41</v>
      </c>
    </row>
    <row r="222" spans="1:9" x14ac:dyDescent="0.25">
      <c r="A222" s="2" t="s">
        <v>23</v>
      </c>
      <c r="B222" s="2" t="s">
        <v>25</v>
      </c>
      <c r="C222" s="3">
        <v>43835</v>
      </c>
      <c r="D222" s="2">
        <v>6615</v>
      </c>
      <c r="E222" s="2">
        <v>339</v>
      </c>
      <c r="F222" s="2">
        <v>4.42</v>
      </c>
      <c r="G222" s="2" t="s">
        <v>20</v>
      </c>
      <c r="H222" s="2">
        <v>283</v>
      </c>
      <c r="I222" s="2">
        <v>4.45</v>
      </c>
    </row>
    <row r="223" spans="1:9" x14ac:dyDescent="0.25">
      <c r="A223" s="2" t="s">
        <v>23</v>
      </c>
      <c r="B223" s="2" t="s">
        <v>25</v>
      </c>
      <c r="C223" s="3">
        <v>43836</v>
      </c>
      <c r="D223" s="2">
        <v>3946</v>
      </c>
      <c r="E223" s="2">
        <v>456</v>
      </c>
      <c r="F223" s="2">
        <v>7.91</v>
      </c>
      <c r="G223" s="2" t="s">
        <v>21</v>
      </c>
      <c r="H223" s="2">
        <v>684</v>
      </c>
      <c r="I223" s="2">
        <v>6.1</v>
      </c>
    </row>
    <row r="224" spans="1:9" x14ac:dyDescent="0.25">
      <c r="A224" s="2" t="s">
        <v>23</v>
      </c>
      <c r="B224" s="2" t="s">
        <v>25</v>
      </c>
      <c r="C224" s="3">
        <v>43837</v>
      </c>
      <c r="D224" s="2">
        <v>8559</v>
      </c>
      <c r="E224" s="2">
        <v>483</v>
      </c>
      <c r="F224" s="2">
        <v>7.83</v>
      </c>
      <c r="G224" s="2" t="s">
        <v>21</v>
      </c>
      <c r="H224" s="2">
        <v>116</v>
      </c>
      <c r="I224" s="2">
        <v>4.6399999999999997</v>
      </c>
    </row>
    <row r="225" spans="1:9" x14ac:dyDescent="0.25">
      <c r="A225" s="2" t="s">
        <v>23</v>
      </c>
      <c r="B225" s="2" t="s">
        <v>25</v>
      </c>
      <c r="C225" s="3">
        <v>43838</v>
      </c>
      <c r="D225" s="2">
        <v>8396</v>
      </c>
      <c r="E225" s="2">
        <v>970</v>
      </c>
      <c r="F225" s="2">
        <v>8.9</v>
      </c>
      <c r="G225" s="2" t="s">
        <v>17</v>
      </c>
      <c r="H225" s="2">
        <v>888</v>
      </c>
      <c r="I225" s="2">
        <v>4.6100000000000003</v>
      </c>
    </row>
    <row r="226" spans="1:9" x14ac:dyDescent="0.25">
      <c r="A226" s="2" t="s">
        <v>23</v>
      </c>
      <c r="B226" s="2" t="s">
        <v>25</v>
      </c>
      <c r="C226" s="3">
        <v>43839</v>
      </c>
      <c r="D226" s="2">
        <v>5707</v>
      </c>
      <c r="E226" s="2">
        <v>597</v>
      </c>
      <c r="F226" s="2">
        <v>7.86</v>
      </c>
      <c r="G226" s="2" t="s">
        <v>17</v>
      </c>
      <c r="H226" s="2">
        <v>287</v>
      </c>
      <c r="I226" s="2">
        <v>7.58</v>
      </c>
    </row>
    <row r="227" spans="1:9" x14ac:dyDescent="0.25">
      <c r="A227" s="2" t="s">
        <v>23</v>
      </c>
      <c r="B227" s="2" t="s">
        <v>25</v>
      </c>
      <c r="C227" s="3">
        <v>43840</v>
      </c>
      <c r="D227" s="2">
        <v>6436</v>
      </c>
      <c r="E227" s="2">
        <v>509</v>
      </c>
      <c r="F227" s="2">
        <v>7.71</v>
      </c>
      <c r="G227" s="2" t="s">
        <v>17</v>
      </c>
      <c r="H227" s="2">
        <v>475</v>
      </c>
      <c r="I227" s="2">
        <v>0.32</v>
      </c>
    </row>
    <row r="228" spans="1:9" x14ac:dyDescent="0.25">
      <c r="A228" s="2" t="s">
        <v>23</v>
      </c>
      <c r="B228" s="2" t="s">
        <v>25</v>
      </c>
      <c r="C228" s="3">
        <v>43841</v>
      </c>
      <c r="D228" s="2">
        <v>7326</v>
      </c>
      <c r="E228" s="2">
        <v>1013</v>
      </c>
      <c r="F228" s="2">
        <v>1.31</v>
      </c>
      <c r="G228" s="2" t="s">
        <v>17</v>
      </c>
      <c r="H228" s="2">
        <v>711</v>
      </c>
      <c r="I228" s="2">
        <v>2.54</v>
      </c>
    </row>
    <row r="229" spans="1:9" x14ac:dyDescent="0.25">
      <c r="A229" s="2" t="s">
        <v>23</v>
      </c>
      <c r="B229" s="2" t="s">
        <v>25</v>
      </c>
      <c r="C229" s="3">
        <v>43842</v>
      </c>
      <c r="D229" s="2">
        <v>9181</v>
      </c>
      <c r="E229" s="2">
        <v>702</v>
      </c>
      <c r="F229" s="2">
        <v>9.35</v>
      </c>
      <c r="G229" s="2" t="s">
        <v>21</v>
      </c>
      <c r="H229" s="2">
        <v>914</v>
      </c>
      <c r="I229" s="2">
        <v>1.25</v>
      </c>
    </row>
    <row r="230" spans="1:9" x14ac:dyDescent="0.25">
      <c r="A230" s="2" t="s">
        <v>23</v>
      </c>
      <c r="B230" s="2" t="s">
        <v>25</v>
      </c>
      <c r="C230" s="3">
        <v>44197</v>
      </c>
      <c r="D230" s="2">
        <v>9358</v>
      </c>
      <c r="E230" s="2">
        <v>490</v>
      </c>
      <c r="F230" s="2">
        <v>6.22</v>
      </c>
      <c r="G230" s="2" t="s">
        <v>18</v>
      </c>
      <c r="H230" s="2">
        <v>447</v>
      </c>
      <c r="I230" s="2">
        <v>9.4</v>
      </c>
    </row>
    <row r="231" spans="1:9" x14ac:dyDescent="0.25">
      <c r="A231" s="2" t="s">
        <v>23</v>
      </c>
      <c r="B231" s="2" t="s">
        <v>25</v>
      </c>
      <c r="C231" s="3">
        <v>44198</v>
      </c>
      <c r="D231" s="2">
        <v>4277</v>
      </c>
      <c r="E231" s="2">
        <v>720</v>
      </c>
      <c r="F231" s="2">
        <v>5.36</v>
      </c>
      <c r="G231" s="2" t="s">
        <v>17</v>
      </c>
      <c r="H231" s="2">
        <v>629</v>
      </c>
      <c r="I231" s="2">
        <v>8.65</v>
      </c>
    </row>
    <row r="232" spans="1:9" x14ac:dyDescent="0.25">
      <c r="A232" s="2" t="s">
        <v>23</v>
      </c>
      <c r="B232" s="2" t="s">
        <v>25</v>
      </c>
      <c r="C232" s="3">
        <v>44199</v>
      </c>
      <c r="D232" s="2">
        <v>5396</v>
      </c>
      <c r="E232" s="2">
        <v>595</v>
      </c>
      <c r="F232" s="2">
        <v>5.73</v>
      </c>
      <c r="G232" s="2" t="s">
        <v>21</v>
      </c>
      <c r="H232" s="2">
        <v>736</v>
      </c>
      <c r="I232" s="2">
        <v>8.17</v>
      </c>
    </row>
    <row r="233" spans="1:9" x14ac:dyDescent="0.25">
      <c r="A233" s="2" t="s">
        <v>23</v>
      </c>
      <c r="B233" s="2" t="s">
        <v>25</v>
      </c>
      <c r="C233" s="3">
        <v>44200</v>
      </c>
      <c r="D233" s="2">
        <v>9623</v>
      </c>
      <c r="E233" s="2">
        <v>837</v>
      </c>
      <c r="F233" s="2">
        <v>6.97</v>
      </c>
      <c r="G233" s="2" t="s">
        <v>21</v>
      </c>
      <c r="H233" s="2">
        <v>731</v>
      </c>
      <c r="I233" s="2">
        <v>5.47</v>
      </c>
    </row>
    <row r="234" spans="1:9" x14ac:dyDescent="0.25">
      <c r="A234" s="2" t="s">
        <v>23</v>
      </c>
      <c r="B234" s="2" t="s">
        <v>25</v>
      </c>
      <c r="C234" s="3">
        <v>44201</v>
      </c>
      <c r="D234" s="2">
        <v>4550</v>
      </c>
      <c r="E234" s="2">
        <v>323</v>
      </c>
      <c r="F234" s="2">
        <v>8.67</v>
      </c>
      <c r="G234" s="2" t="s">
        <v>21</v>
      </c>
      <c r="H234" s="2">
        <v>470</v>
      </c>
      <c r="I234" s="2">
        <v>9.44</v>
      </c>
    </row>
    <row r="235" spans="1:9" x14ac:dyDescent="0.25">
      <c r="A235" s="2" t="s">
        <v>23</v>
      </c>
      <c r="B235" s="2" t="s">
        <v>25</v>
      </c>
      <c r="C235" s="3">
        <v>44202</v>
      </c>
      <c r="D235" s="2">
        <v>6882</v>
      </c>
      <c r="E235" s="2">
        <v>561</v>
      </c>
      <c r="F235" s="2">
        <v>2.4900000000000002</v>
      </c>
      <c r="G235" s="2" t="s">
        <v>18</v>
      </c>
      <c r="H235" s="2">
        <v>728</v>
      </c>
      <c r="I235" s="2">
        <v>4.79</v>
      </c>
    </row>
    <row r="236" spans="1:9" x14ac:dyDescent="0.25">
      <c r="A236" s="2" t="s">
        <v>23</v>
      </c>
      <c r="B236" s="2" t="s">
        <v>25</v>
      </c>
      <c r="C236" s="3">
        <v>44203</v>
      </c>
      <c r="D236" s="2">
        <v>6991</v>
      </c>
      <c r="E236" s="2">
        <v>1082</v>
      </c>
      <c r="F236" s="2">
        <v>7.6</v>
      </c>
      <c r="G236" s="2" t="s">
        <v>17</v>
      </c>
      <c r="H236" s="2">
        <v>956</v>
      </c>
      <c r="I236" s="2">
        <v>1.51</v>
      </c>
    </row>
    <row r="237" spans="1:9" x14ac:dyDescent="0.25">
      <c r="A237" s="2" t="s">
        <v>23</v>
      </c>
      <c r="B237" s="2" t="s">
        <v>25</v>
      </c>
      <c r="C237" s="3">
        <v>44204</v>
      </c>
      <c r="D237" s="2">
        <v>7142</v>
      </c>
      <c r="E237" s="2">
        <v>471</v>
      </c>
      <c r="F237" s="2">
        <v>5.25</v>
      </c>
      <c r="G237" s="2" t="s">
        <v>20</v>
      </c>
      <c r="H237" s="2">
        <v>341</v>
      </c>
      <c r="I237" s="2">
        <v>2.39</v>
      </c>
    </row>
    <row r="238" spans="1:9" x14ac:dyDescent="0.25">
      <c r="A238" s="2" t="s">
        <v>23</v>
      </c>
      <c r="B238" s="2" t="s">
        <v>25</v>
      </c>
      <c r="C238" s="3">
        <v>44205</v>
      </c>
      <c r="D238" s="2">
        <v>9524</v>
      </c>
      <c r="E238" s="2">
        <v>990</v>
      </c>
      <c r="F238" s="2">
        <v>3.6</v>
      </c>
      <c r="G238" s="2" t="s">
        <v>20</v>
      </c>
      <c r="H238" s="2">
        <v>877</v>
      </c>
      <c r="I238" s="2">
        <v>5.9</v>
      </c>
    </row>
    <row r="239" spans="1:9" x14ac:dyDescent="0.25">
      <c r="A239" s="2" t="s">
        <v>23</v>
      </c>
      <c r="B239" s="2" t="s">
        <v>25</v>
      </c>
      <c r="C239" s="3">
        <v>44206</v>
      </c>
      <c r="D239" s="2">
        <v>8061</v>
      </c>
      <c r="E239" s="2">
        <v>697</v>
      </c>
      <c r="F239" s="2">
        <v>7.74</v>
      </c>
      <c r="G239" s="2" t="s">
        <v>20</v>
      </c>
      <c r="H239" s="2">
        <v>515</v>
      </c>
      <c r="I239" s="2">
        <v>2.17</v>
      </c>
    </row>
    <row r="240" spans="1:9" x14ac:dyDescent="0.25">
      <c r="A240" s="2" t="s">
        <v>23</v>
      </c>
      <c r="B240" s="2" t="s">
        <v>25</v>
      </c>
      <c r="C240" s="3">
        <v>44207</v>
      </c>
      <c r="D240" s="2">
        <v>5662</v>
      </c>
      <c r="E240" s="2">
        <v>928</v>
      </c>
      <c r="F240" s="2">
        <v>4.62</v>
      </c>
      <c r="G240" s="2" t="s">
        <v>20</v>
      </c>
      <c r="H240" s="2">
        <v>260</v>
      </c>
      <c r="I240" s="2">
        <v>4.1399999999999997</v>
      </c>
    </row>
    <row r="241" spans="1:9" x14ac:dyDescent="0.25">
      <c r="A241" s="2" t="s">
        <v>23</v>
      </c>
      <c r="B241" s="2" t="s">
        <v>25</v>
      </c>
      <c r="C241" s="3">
        <v>44208</v>
      </c>
      <c r="D241" s="2">
        <v>5502</v>
      </c>
      <c r="E241" s="2">
        <v>779</v>
      </c>
      <c r="F241" s="2">
        <v>8.19</v>
      </c>
      <c r="G241" s="2" t="s">
        <v>18</v>
      </c>
      <c r="H241" s="2">
        <v>826</v>
      </c>
      <c r="I241" s="2">
        <v>8.07</v>
      </c>
    </row>
    <row r="242" spans="1:9" x14ac:dyDescent="0.25">
      <c r="A242" s="2" t="s">
        <v>23</v>
      </c>
      <c r="B242" s="2" t="s">
        <v>25</v>
      </c>
      <c r="C242" s="3">
        <v>44562</v>
      </c>
      <c r="D242" s="2">
        <v>5009</v>
      </c>
      <c r="E242" s="2">
        <v>518</v>
      </c>
      <c r="F242" s="2">
        <v>6.29</v>
      </c>
      <c r="G242" s="2" t="s">
        <v>20</v>
      </c>
      <c r="H242" s="2">
        <v>485</v>
      </c>
      <c r="I242" s="2">
        <v>4.09</v>
      </c>
    </row>
    <row r="243" spans="1:9" x14ac:dyDescent="0.25">
      <c r="A243" s="2" t="s">
        <v>23</v>
      </c>
      <c r="B243" s="2" t="s">
        <v>25</v>
      </c>
      <c r="C243" s="3">
        <v>44563</v>
      </c>
      <c r="D243" s="2">
        <v>3270</v>
      </c>
      <c r="E243" s="2">
        <v>756</v>
      </c>
      <c r="F243" s="2">
        <v>5.83</v>
      </c>
      <c r="G243" s="2" t="s">
        <v>20</v>
      </c>
      <c r="H243" s="2">
        <v>558</v>
      </c>
      <c r="I243" s="2">
        <v>5.42</v>
      </c>
    </row>
    <row r="244" spans="1:9" x14ac:dyDescent="0.25">
      <c r="A244" s="2" t="s">
        <v>23</v>
      </c>
      <c r="B244" s="2" t="s">
        <v>25</v>
      </c>
      <c r="C244" s="3">
        <v>44564</v>
      </c>
      <c r="D244" s="2">
        <v>4071</v>
      </c>
      <c r="E244" s="2">
        <v>865</v>
      </c>
      <c r="F244" s="2">
        <v>3.64</v>
      </c>
      <c r="G244" s="2" t="s">
        <v>18</v>
      </c>
      <c r="H244" s="2">
        <v>205</v>
      </c>
      <c r="I244" s="2">
        <v>0.75</v>
      </c>
    </row>
    <row r="245" spans="1:9" x14ac:dyDescent="0.25">
      <c r="A245" s="2" t="s">
        <v>23</v>
      </c>
      <c r="B245" s="2" t="s">
        <v>25</v>
      </c>
      <c r="C245" s="3">
        <v>44565</v>
      </c>
      <c r="D245" s="2">
        <v>9082</v>
      </c>
      <c r="E245" s="2">
        <v>860</v>
      </c>
      <c r="F245" s="2">
        <v>9.3699999999999992</v>
      </c>
      <c r="G245" s="2" t="s">
        <v>21</v>
      </c>
      <c r="H245" s="2">
        <v>859</v>
      </c>
      <c r="I245" s="2">
        <v>8.8800000000000008</v>
      </c>
    </row>
    <row r="246" spans="1:9" x14ac:dyDescent="0.25">
      <c r="A246" s="2" t="s">
        <v>23</v>
      </c>
      <c r="B246" s="2" t="s">
        <v>25</v>
      </c>
      <c r="C246" s="3">
        <v>44566</v>
      </c>
      <c r="D246" s="2">
        <v>7188</v>
      </c>
      <c r="E246" s="2">
        <v>1138</v>
      </c>
      <c r="F246" s="2">
        <v>1.39</v>
      </c>
      <c r="G246" s="2" t="s">
        <v>18</v>
      </c>
      <c r="H246" s="2">
        <v>550</v>
      </c>
      <c r="I246" s="2">
        <v>0.76</v>
      </c>
    </row>
    <row r="247" spans="1:9" x14ac:dyDescent="0.25">
      <c r="A247" s="2" t="s">
        <v>23</v>
      </c>
      <c r="B247" s="2" t="s">
        <v>25</v>
      </c>
      <c r="C247" s="3">
        <v>44567</v>
      </c>
      <c r="D247" s="2">
        <v>9588</v>
      </c>
      <c r="E247" s="2">
        <v>916</v>
      </c>
      <c r="F247" s="2">
        <v>2.96</v>
      </c>
      <c r="G247" s="2" t="s">
        <v>17</v>
      </c>
      <c r="H247" s="2">
        <v>740</v>
      </c>
      <c r="I247" s="2">
        <v>4.38</v>
      </c>
    </row>
    <row r="248" spans="1:9" x14ac:dyDescent="0.25">
      <c r="A248" s="2" t="s">
        <v>23</v>
      </c>
      <c r="B248" s="2" t="s">
        <v>25</v>
      </c>
      <c r="C248" s="3">
        <v>44568</v>
      </c>
      <c r="D248" s="2">
        <v>9856</v>
      </c>
      <c r="E248" s="2">
        <v>537</v>
      </c>
      <c r="F248" s="2">
        <v>4.0199999999999996</v>
      </c>
      <c r="G248" s="2" t="s">
        <v>17</v>
      </c>
      <c r="H248" s="2">
        <v>269</v>
      </c>
      <c r="I248" s="2">
        <v>7.45</v>
      </c>
    </row>
    <row r="249" spans="1:9" x14ac:dyDescent="0.25">
      <c r="A249" s="2" t="s">
        <v>23</v>
      </c>
      <c r="B249" s="2" t="s">
        <v>25</v>
      </c>
      <c r="C249" s="3">
        <v>44569</v>
      </c>
      <c r="D249" s="2">
        <v>9015</v>
      </c>
      <c r="E249" s="2">
        <v>620</v>
      </c>
      <c r="F249" s="2">
        <v>9.82</v>
      </c>
      <c r="G249" s="2" t="s">
        <v>17</v>
      </c>
      <c r="H249" s="2">
        <v>428</v>
      </c>
      <c r="I249" s="2">
        <v>8.91</v>
      </c>
    </row>
    <row r="250" spans="1:9" x14ac:dyDescent="0.25">
      <c r="A250" s="2" t="s">
        <v>23</v>
      </c>
      <c r="B250" s="2" t="s">
        <v>25</v>
      </c>
      <c r="C250" s="3">
        <v>44570</v>
      </c>
      <c r="D250" s="2">
        <v>7411</v>
      </c>
      <c r="E250" s="2">
        <v>234</v>
      </c>
      <c r="F250" s="2">
        <v>8.11</v>
      </c>
      <c r="G250" s="2" t="s">
        <v>17</v>
      </c>
      <c r="H250" s="2">
        <v>229</v>
      </c>
      <c r="I250" s="2">
        <v>9.66</v>
      </c>
    </row>
    <row r="251" spans="1:9" x14ac:dyDescent="0.25">
      <c r="A251" s="2" t="s">
        <v>23</v>
      </c>
      <c r="B251" s="2" t="s">
        <v>25</v>
      </c>
      <c r="C251" s="3">
        <v>44571</v>
      </c>
      <c r="D251" s="2">
        <v>6532</v>
      </c>
      <c r="E251" s="2">
        <v>532</v>
      </c>
      <c r="F251" s="2">
        <v>1.21</v>
      </c>
      <c r="G251" s="2" t="s">
        <v>17</v>
      </c>
      <c r="H251" s="2">
        <v>132</v>
      </c>
      <c r="I251" s="2">
        <v>6.24</v>
      </c>
    </row>
    <row r="252" spans="1:9" x14ac:dyDescent="0.25">
      <c r="A252" s="2" t="s">
        <v>23</v>
      </c>
      <c r="B252" s="2" t="s">
        <v>25</v>
      </c>
      <c r="C252" s="3">
        <v>44572</v>
      </c>
      <c r="D252" s="2">
        <v>6860</v>
      </c>
      <c r="E252" s="2">
        <v>1082</v>
      </c>
      <c r="F252" s="2">
        <v>8.1199999999999992</v>
      </c>
      <c r="G252" s="2" t="s">
        <v>17</v>
      </c>
      <c r="H252" s="2">
        <v>347</v>
      </c>
      <c r="I252" s="2">
        <v>6.33</v>
      </c>
    </row>
    <row r="253" spans="1:9" x14ac:dyDescent="0.25">
      <c r="A253" s="2" t="s">
        <v>23</v>
      </c>
      <c r="B253" s="2" t="s">
        <v>25</v>
      </c>
      <c r="C253" s="3">
        <v>44573</v>
      </c>
      <c r="D253" s="2">
        <v>5891</v>
      </c>
      <c r="E253" s="2">
        <v>656</v>
      </c>
      <c r="F253" s="2">
        <v>8.17</v>
      </c>
      <c r="G253" s="2" t="s">
        <v>17</v>
      </c>
      <c r="H253" s="2">
        <v>238</v>
      </c>
      <c r="I253" s="2">
        <v>9.99</v>
      </c>
    </row>
    <row r="254" spans="1:9" x14ac:dyDescent="0.25">
      <c r="A254" s="2" t="s">
        <v>23</v>
      </c>
      <c r="B254" s="2" t="s">
        <v>25</v>
      </c>
      <c r="C254" s="3">
        <v>44927</v>
      </c>
      <c r="D254" s="2">
        <v>7275</v>
      </c>
      <c r="E254" s="2">
        <v>885</v>
      </c>
      <c r="F254" s="2">
        <v>8.84</v>
      </c>
      <c r="G254" s="2" t="s">
        <v>21</v>
      </c>
      <c r="H254" s="2">
        <v>256</v>
      </c>
      <c r="I254" s="2">
        <v>5.21</v>
      </c>
    </row>
    <row r="255" spans="1:9" x14ac:dyDescent="0.25">
      <c r="A255" s="2" t="s">
        <v>23</v>
      </c>
      <c r="B255" s="2" t="s">
        <v>25</v>
      </c>
      <c r="C255" s="3">
        <v>44928</v>
      </c>
      <c r="D255" s="2">
        <v>9451</v>
      </c>
      <c r="E255" s="2">
        <v>263</v>
      </c>
      <c r="F255" s="2">
        <v>3.93</v>
      </c>
      <c r="G255" s="2" t="s">
        <v>20</v>
      </c>
      <c r="H255" s="2">
        <v>718</v>
      </c>
      <c r="I255" s="2">
        <v>3.59</v>
      </c>
    </row>
    <row r="256" spans="1:9" x14ac:dyDescent="0.25">
      <c r="A256" s="2" t="s">
        <v>23</v>
      </c>
      <c r="B256" s="2" t="s">
        <v>25</v>
      </c>
      <c r="C256" s="3">
        <v>44929</v>
      </c>
      <c r="D256" s="2">
        <v>4707</v>
      </c>
      <c r="E256" s="2">
        <v>999</v>
      </c>
      <c r="F256" s="2">
        <v>8.4</v>
      </c>
      <c r="G256" s="2" t="s">
        <v>21</v>
      </c>
      <c r="H256" s="2">
        <v>812</v>
      </c>
      <c r="I256" s="2">
        <v>1.02</v>
      </c>
    </row>
    <row r="257" spans="1:9" x14ac:dyDescent="0.25">
      <c r="A257" s="2" t="s">
        <v>23</v>
      </c>
      <c r="B257" s="2" t="s">
        <v>25</v>
      </c>
      <c r="C257" s="3">
        <v>44930</v>
      </c>
      <c r="D257" s="2">
        <v>7080</v>
      </c>
      <c r="E257" s="2">
        <v>340</v>
      </c>
      <c r="F257" s="2">
        <v>8.35</v>
      </c>
      <c r="G257" s="2" t="s">
        <v>21</v>
      </c>
      <c r="H257" s="2">
        <v>756</v>
      </c>
      <c r="I257" s="2">
        <v>6.07</v>
      </c>
    </row>
    <row r="258" spans="1:9" x14ac:dyDescent="0.25">
      <c r="A258" s="2" t="s">
        <v>23</v>
      </c>
      <c r="B258" s="2" t="s">
        <v>25</v>
      </c>
      <c r="C258" s="3">
        <v>44931</v>
      </c>
      <c r="D258" s="2">
        <v>8693</v>
      </c>
      <c r="E258" s="2">
        <v>877</v>
      </c>
      <c r="F258" s="2">
        <v>6.25</v>
      </c>
      <c r="G258" s="2" t="s">
        <v>17</v>
      </c>
      <c r="H258" s="2">
        <v>838</v>
      </c>
      <c r="I258" s="2">
        <v>0.41</v>
      </c>
    </row>
    <row r="259" spans="1:9" x14ac:dyDescent="0.25">
      <c r="A259" s="2" t="s">
        <v>23</v>
      </c>
      <c r="B259" s="2" t="s">
        <v>25</v>
      </c>
      <c r="C259" s="3">
        <v>44932</v>
      </c>
      <c r="D259" s="2">
        <v>4387</v>
      </c>
      <c r="E259" s="2">
        <v>548</v>
      </c>
      <c r="F259" s="2">
        <v>9.18</v>
      </c>
      <c r="G259" s="2" t="s">
        <v>18</v>
      </c>
      <c r="H259" s="2">
        <v>238</v>
      </c>
      <c r="I259" s="2">
        <v>7.17</v>
      </c>
    </row>
    <row r="260" spans="1:9" x14ac:dyDescent="0.25">
      <c r="A260" s="2" t="s">
        <v>23</v>
      </c>
      <c r="B260" s="2" t="s">
        <v>25</v>
      </c>
      <c r="C260" s="3">
        <v>44933</v>
      </c>
      <c r="D260" s="2">
        <v>6430</v>
      </c>
      <c r="E260" s="2">
        <v>541</v>
      </c>
      <c r="F260" s="2">
        <v>8.65</v>
      </c>
      <c r="G260" s="2" t="s">
        <v>18</v>
      </c>
      <c r="H260" s="2">
        <v>684</v>
      </c>
      <c r="I260" s="2">
        <v>3.14</v>
      </c>
    </row>
    <row r="261" spans="1:9" x14ac:dyDescent="0.25">
      <c r="A261" s="2" t="s">
        <v>23</v>
      </c>
      <c r="B261" s="2" t="s">
        <v>25</v>
      </c>
      <c r="C261" s="3">
        <v>44934</v>
      </c>
      <c r="D261" s="2">
        <v>7519</v>
      </c>
      <c r="E261" s="2">
        <v>289</v>
      </c>
      <c r="F261" s="2">
        <v>3.48</v>
      </c>
      <c r="G261" s="2" t="s">
        <v>17</v>
      </c>
      <c r="H261" s="2">
        <v>139</v>
      </c>
      <c r="I261" s="2">
        <v>5.76</v>
      </c>
    </row>
    <row r="262" spans="1:9" x14ac:dyDescent="0.25">
      <c r="A262" s="2" t="s">
        <v>23</v>
      </c>
      <c r="B262" s="2" t="s">
        <v>25</v>
      </c>
      <c r="C262" s="3">
        <v>44935</v>
      </c>
      <c r="D262" s="2">
        <v>4129</v>
      </c>
      <c r="E262" s="2">
        <v>628</v>
      </c>
      <c r="F262" s="2">
        <v>3.9</v>
      </c>
      <c r="G262" s="2" t="s">
        <v>18</v>
      </c>
      <c r="H262" s="2">
        <v>622</v>
      </c>
      <c r="I262" s="2">
        <v>7.43</v>
      </c>
    </row>
    <row r="263" spans="1:9" x14ac:dyDescent="0.25">
      <c r="A263" s="2" t="s">
        <v>23</v>
      </c>
      <c r="B263" s="2" t="s">
        <v>25</v>
      </c>
      <c r="C263" s="3">
        <v>44936</v>
      </c>
      <c r="D263" s="2">
        <v>6166</v>
      </c>
      <c r="E263" s="2">
        <v>844</v>
      </c>
      <c r="F263" s="2">
        <v>5.09</v>
      </c>
      <c r="G263" s="2" t="s">
        <v>20</v>
      </c>
      <c r="H263" s="2">
        <v>89</v>
      </c>
      <c r="I263" s="2">
        <v>5.05</v>
      </c>
    </row>
    <row r="264" spans="1:9" x14ac:dyDescent="0.25">
      <c r="A264" s="2" t="s">
        <v>23</v>
      </c>
      <c r="B264" s="2" t="s">
        <v>25</v>
      </c>
      <c r="C264" s="3">
        <v>44937</v>
      </c>
      <c r="D264" s="2">
        <v>9614</v>
      </c>
      <c r="E264" s="2">
        <v>731</v>
      </c>
      <c r="F264" s="2">
        <v>5.19</v>
      </c>
      <c r="G264" s="2" t="s">
        <v>17</v>
      </c>
      <c r="H264" s="2">
        <v>161</v>
      </c>
      <c r="I264" s="2">
        <v>0.37</v>
      </c>
    </row>
    <row r="265" spans="1:9" x14ac:dyDescent="0.25">
      <c r="A265" s="2" t="s">
        <v>23</v>
      </c>
      <c r="B265" s="2" t="s">
        <v>25</v>
      </c>
      <c r="C265" s="3">
        <v>44938</v>
      </c>
      <c r="D265" s="2">
        <v>4745</v>
      </c>
      <c r="E265" s="2">
        <v>716</v>
      </c>
      <c r="F265" s="2">
        <v>8.7100000000000009</v>
      </c>
      <c r="G265" s="2" t="s">
        <v>17</v>
      </c>
      <c r="H265" s="2">
        <v>621</v>
      </c>
      <c r="I265" s="2">
        <v>9.69</v>
      </c>
    </row>
    <row r="266" spans="1:9" x14ac:dyDescent="0.25">
      <c r="A266" s="2" t="s">
        <v>23</v>
      </c>
      <c r="B266" s="2" t="s">
        <v>25</v>
      </c>
      <c r="C266" s="3">
        <v>45292</v>
      </c>
      <c r="D266" s="2">
        <v>5115</v>
      </c>
      <c r="E266" s="2">
        <v>393</v>
      </c>
      <c r="F266" s="2">
        <v>1.67</v>
      </c>
      <c r="G266" s="2" t="s">
        <v>20</v>
      </c>
      <c r="H266" s="2">
        <v>983</v>
      </c>
      <c r="I266" s="2">
        <v>1.45</v>
      </c>
    </row>
    <row r="267" spans="1:9" x14ac:dyDescent="0.25">
      <c r="A267" s="2" t="s">
        <v>23</v>
      </c>
      <c r="B267" s="2" t="s">
        <v>25</v>
      </c>
      <c r="C267" s="3">
        <v>45293</v>
      </c>
      <c r="D267" s="2">
        <v>7662</v>
      </c>
      <c r="E267" s="2">
        <v>1020</v>
      </c>
      <c r="F267" s="2">
        <v>7.8</v>
      </c>
      <c r="G267" s="2" t="s">
        <v>17</v>
      </c>
      <c r="H267" s="2">
        <v>400</v>
      </c>
      <c r="I267" s="2">
        <v>9.2100000000000009</v>
      </c>
    </row>
    <row r="268" spans="1:9" x14ac:dyDescent="0.25">
      <c r="A268" s="2" t="s">
        <v>23</v>
      </c>
      <c r="B268" s="2" t="s">
        <v>25</v>
      </c>
      <c r="C268" s="3">
        <v>45294</v>
      </c>
      <c r="D268" s="2">
        <v>9501</v>
      </c>
      <c r="E268" s="2">
        <v>864</v>
      </c>
      <c r="F268" s="2">
        <v>9.66</v>
      </c>
      <c r="G268" s="2" t="s">
        <v>21</v>
      </c>
      <c r="H268" s="2">
        <v>203</v>
      </c>
      <c r="I268" s="2">
        <v>6.93</v>
      </c>
    </row>
    <row r="269" spans="1:9" x14ac:dyDescent="0.25">
      <c r="A269" s="2" t="s">
        <v>23</v>
      </c>
      <c r="B269" s="2" t="s">
        <v>25</v>
      </c>
      <c r="C269" s="3">
        <v>45295</v>
      </c>
      <c r="D269" s="2">
        <v>9593</v>
      </c>
      <c r="E269" s="2">
        <v>864</v>
      </c>
      <c r="F269" s="2">
        <v>1.05</v>
      </c>
      <c r="G269" s="2" t="s">
        <v>18</v>
      </c>
      <c r="H269" s="2">
        <v>847</v>
      </c>
      <c r="I269" s="2">
        <v>6.11</v>
      </c>
    </row>
    <row r="270" spans="1:9" x14ac:dyDescent="0.25">
      <c r="A270" s="2" t="s">
        <v>23</v>
      </c>
      <c r="B270" s="2" t="s">
        <v>25</v>
      </c>
      <c r="C270" s="3">
        <v>45296</v>
      </c>
      <c r="D270" s="2">
        <v>4733</v>
      </c>
      <c r="E270" s="2">
        <v>801</v>
      </c>
      <c r="F270" s="2">
        <v>7.13</v>
      </c>
      <c r="G270" s="2" t="s">
        <v>20</v>
      </c>
      <c r="H270" s="2">
        <v>200</v>
      </c>
      <c r="I270" s="2">
        <v>7.25</v>
      </c>
    </row>
    <row r="271" spans="1:9" x14ac:dyDescent="0.25">
      <c r="A271" s="2" t="s">
        <v>23</v>
      </c>
      <c r="B271" s="2" t="s">
        <v>25</v>
      </c>
      <c r="C271" s="3">
        <v>45297</v>
      </c>
      <c r="D271" s="2">
        <v>9044</v>
      </c>
      <c r="E271" s="2">
        <v>720</v>
      </c>
      <c r="F271" s="2">
        <v>8.85</v>
      </c>
      <c r="G271" s="2" t="s">
        <v>20</v>
      </c>
      <c r="H271" s="2">
        <v>606</v>
      </c>
      <c r="I271" s="2">
        <v>4.6399999999999997</v>
      </c>
    </row>
    <row r="272" spans="1:9" x14ac:dyDescent="0.25">
      <c r="A272" s="2" t="s">
        <v>23</v>
      </c>
      <c r="B272" s="2" t="s">
        <v>25</v>
      </c>
      <c r="C272" s="3">
        <v>45298</v>
      </c>
      <c r="D272" s="2">
        <v>9200</v>
      </c>
      <c r="E272" s="2">
        <v>757</v>
      </c>
      <c r="F272" s="2">
        <v>7.11</v>
      </c>
      <c r="G272" s="2" t="s">
        <v>18</v>
      </c>
      <c r="H272" s="2">
        <v>647</v>
      </c>
      <c r="I272" s="2">
        <v>2.86</v>
      </c>
    </row>
    <row r="273" spans="1:9" x14ac:dyDescent="0.25">
      <c r="A273" s="2" t="s">
        <v>23</v>
      </c>
      <c r="B273" s="2" t="s">
        <v>25</v>
      </c>
      <c r="C273" s="3">
        <v>45299</v>
      </c>
      <c r="D273" s="2">
        <v>8439</v>
      </c>
      <c r="E273" s="2">
        <v>314</v>
      </c>
      <c r="F273" s="2">
        <v>7.74</v>
      </c>
      <c r="G273" s="2" t="s">
        <v>17</v>
      </c>
      <c r="H273" s="2">
        <v>661</v>
      </c>
      <c r="I273" s="2">
        <v>3.16</v>
      </c>
    </row>
    <row r="274" spans="1:9" x14ac:dyDescent="0.25">
      <c r="A274" s="2" t="s">
        <v>23</v>
      </c>
      <c r="B274" s="2" t="s">
        <v>25</v>
      </c>
      <c r="C274" s="3">
        <v>45300</v>
      </c>
      <c r="D274" s="2">
        <v>6740</v>
      </c>
      <c r="E274" s="2">
        <v>381</v>
      </c>
      <c r="F274" s="2">
        <v>8.19</v>
      </c>
      <c r="G274" s="2" t="s">
        <v>18</v>
      </c>
      <c r="H274" s="2">
        <v>297</v>
      </c>
      <c r="I274" s="2">
        <v>6.11</v>
      </c>
    </row>
    <row r="275" spans="1:9" x14ac:dyDescent="0.25">
      <c r="A275" s="2" t="s">
        <v>23</v>
      </c>
      <c r="B275" s="2" t="s">
        <v>25</v>
      </c>
      <c r="C275" s="3">
        <v>45301</v>
      </c>
      <c r="D275" s="2">
        <v>5435</v>
      </c>
      <c r="E275" s="2">
        <v>827</v>
      </c>
      <c r="F275" s="2">
        <v>7.8</v>
      </c>
      <c r="G275" s="2" t="s">
        <v>21</v>
      </c>
      <c r="H275" s="2">
        <v>380</v>
      </c>
      <c r="I275" s="2">
        <v>0.27</v>
      </c>
    </row>
    <row r="276" spans="1:9" x14ac:dyDescent="0.25">
      <c r="A276" s="2" t="s">
        <v>23</v>
      </c>
      <c r="B276" s="2" t="s">
        <v>25</v>
      </c>
      <c r="C276" s="3">
        <v>45302</v>
      </c>
      <c r="D276" s="2">
        <v>4217</v>
      </c>
      <c r="E276" s="2">
        <v>671</v>
      </c>
      <c r="F276" s="2">
        <v>1.87</v>
      </c>
      <c r="G276" s="2" t="s">
        <v>20</v>
      </c>
      <c r="H276" s="2">
        <v>313</v>
      </c>
      <c r="I276" s="2">
        <v>6.23</v>
      </c>
    </row>
    <row r="277" spans="1:9" x14ac:dyDescent="0.25">
      <c r="A277" s="2" t="s">
        <v>23</v>
      </c>
      <c r="B277" s="2" t="s">
        <v>25</v>
      </c>
      <c r="C277" s="3">
        <v>45303</v>
      </c>
      <c r="D277" s="2">
        <v>3728</v>
      </c>
      <c r="E277" s="2">
        <v>1106</v>
      </c>
      <c r="F277" s="2">
        <v>5.65</v>
      </c>
      <c r="G277" s="2" t="s">
        <v>21</v>
      </c>
      <c r="H277" s="2">
        <v>272</v>
      </c>
      <c r="I277" s="2">
        <v>9.4</v>
      </c>
    </row>
    <row r="278" spans="1:9" x14ac:dyDescent="0.25">
      <c r="A278" s="2" t="s">
        <v>23</v>
      </c>
      <c r="B278" s="2" t="s">
        <v>25</v>
      </c>
      <c r="C278" s="3">
        <v>45658</v>
      </c>
      <c r="D278" s="2">
        <v>8287</v>
      </c>
      <c r="E278" s="2">
        <v>404</v>
      </c>
      <c r="F278" s="2">
        <v>8.83</v>
      </c>
      <c r="G278" s="2" t="s">
        <v>20</v>
      </c>
      <c r="H278" s="2">
        <v>565</v>
      </c>
      <c r="I278" s="2">
        <v>7.61</v>
      </c>
    </row>
    <row r="279" spans="1:9" x14ac:dyDescent="0.25">
      <c r="A279" s="2" t="s">
        <v>23</v>
      </c>
      <c r="B279" s="2" t="s">
        <v>25</v>
      </c>
      <c r="C279" s="3">
        <v>45659</v>
      </c>
      <c r="D279" s="2">
        <v>8723</v>
      </c>
      <c r="E279" s="2">
        <v>587</v>
      </c>
      <c r="F279" s="2">
        <v>2.89</v>
      </c>
      <c r="G279" s="2" t="s">
        <v>18</v>
      </c>
      <c r="H279" s="2">
        <v>147</v>
      </c>
      <c r="I279" s="2">
        <v>4.0999999999999996</v>
      </c>
    </row>
    <row r="280" spans="1:9" x14ac:dyDescent="0.25">
      <c r="A280" s="2" t="s">
        <v>23</v>
      </c>
      <c r="B280" s="2" t="s">
        <v>25</v>
      </c>
      <c r="C280" s="3">
        <v>45660</v>
      </c>
      <c r="D280" s="2">
        <v>9694</v>
      </c>
      <c r="E280" s="2">
        <v>840</v>
      </c>
      <c r="F280" s="2">
        <v>4.38</v>
      </c>
      <c r="G280" s="2" t="s">
        <v>18</v>
      </c>
      <c r="H280" s="2">
        <v>596</v>
      </c>
      <c r="I280" s="2">
        <v>4.33</v>
      </c>
    </row>
    <row r="281" spans="1:9" x14ac:dyDescent="0.25">
      <c r="A281" s="2" t="s">
        <v>23</v>
      </c>
      <c r="B281" s="2" t="s">
        <v>25</v>
      </c>
      <c r="C281" s="3">
        <v>45661</v>
      </c>
      <c r="D281" s="2">
        <v>5320</v>
      </c>
      <c r="E281" s="2">
        <v>1086</v>
      </c>
      <c r="F281" s="2">
        <v>3.3</v>
      </c>
      <c r="G281" s="2" t="s">
        <v>20</v>
      </c>
      <c r="H281" s="2">
        <v>911</v>
      </c>
      <c r="I281" s="2">
        <v>2.31</v>
      </c>
    </row>
    <row r="282" spans="1:9" x14ac:dyDescent="0.25">
      <c r="A282" s="2" t="s">
        <v>23</v>
      </c>
      <c r="B282" s="2" t="s">
        <v>25</v>
      </c>
      <c r="C282" s="3">
        <v>45662</v>
      </c>
      <c r="D282" s="2">
        <v>8979</v>
      </c>
      <c r="E282" s="2">
        <v>887</v>
      </c>
      <c r="F282" s="2">
        <v>6.54</v>
      </c>
      <c r="G282" s="2" t="s">
        <v>18</v>
      </c>
      <c r="H282" s="2">
        <v>98</v>
      </c>
      <c r="I282" s="2">
        <v>9.02</v>
      </c>
    </row>
    <row r="283" spans="1:9" x14ac:dyDescent="0.25">
      <c r="A283" s="2" t="s">
        <v>23</v>
      </c>
      <c r="B283" s="2" t="s">
        <v>25</v>
      </c>
      <c r="C283" s="3">
        <v>45663</v>
      </c>
      <c r="D283" s="2">
        <v>9577</v>
      </c>
      <c r="E283" s="2">
        <v>352</v>
      </c>
      <c r="F283" s="2">
        <v>6.87</v>
      </c>
      <c r="G283" s="2" t="s">
        <v>21</v>
      </c>
      <c r="H283" s="2">
        <v>811</v>
      </c>
      <c r="I283" s="2">
        <v>2.61</v>
      </c>
    </row>
    <row r="284" spans="1:9" x14ac:dyDescent="0.25">
      <c r="A284" s="2" t="s">
        <v>23</v>
      </c>
      <c r="B284" s="2" t="s">
        <v>25</v>
      </c>
      <c r="C284" s="3">
        <v>45664</v>
      </c>
      <c r="D284" s="2">
        <v>6634</v>
      </c>
      <c r="E284" s="2">
        <v>1087</v>
      </c>
      <c r="F284" s="2">
        <v>4.12</v>
      </c>
      <c r="G284" s="2" t="s">
        <v>17</v>
      </c>
      <c r="H284" s="2">
        <v>910</v>
      </c>
      <c r="I284" s="2">
        <v>6.99</v>
      </c>
    </row>
    <row r="285" spans="1:9" x14ac:dyDescent="0.25">
      <c r="A285" s="2" t="s">
        <v>23</v>
      </c>
      <c r="B285" s="2" t="s">
        <v>25</v>
      </c>
      <c r="C285" s="3">
        <v>45665</v>
      </c>
      <c r="D285" s="2">
        <v>8841</v>
      </c>
      <c r="E285" s="2">
        <v>1138</v>
      </c>
      <c r="F285" s="2">
        <v>7.37</v>
      </c>
      <c r="G285" s="2" t="s">
        <v>20</v>
      </c>
      <c r="H285" s="2">
        <v>783</v>
      </c>
      <c r="I285" s="2">
        <v>2.2400000000000002</v>
      </c>
    </row>
    <row r="286" spans="1:9" x14ac:dyDescent="0.25">
      <c r="A286" s="2" t="s">
        <v>23</v>
      </c>
      <c r="B286" s="2" t="s">
        <v>25</v>
      </c>
      <c r="C286" s="3">
        <v>45666</v>
      </c>
      <c r="D286" s="2">
        <v>3918</v>
      </c>
      <c r="E286" s="2">
        <v>906</v>
      </c>
      <c r="F286" s="2">
        <v>2.95</v>
      </c>
      <c r="G286" s="2" t="s">
        <v>18</v>
      </c>
      <c r="H286" s="2">
        <v>461</v>
      </c>
      <c r="I286" s="2">
        <v>1.55</v>
      </c>
    </row>
    <row r="287" spans="1:9" x14ac:dyDescent="0.25">
      <c r="A287" s="2" t="s">
        <v>23</v>
      </c>
      <c r="B287" s="2" t="s">
        <v>25</v>
      </c>
      <c r="C287" s="3">
        <v>45667</v>
      </c>
      <c r="D287" s="2">
        <v>9351</v>
      </c>
      <c r="E287" s="2">
        <v>786</v>
      </c>
      <c r="F287" s="2">
        <v>3.2</v>
      </c>
      <c r="G287" s="2" t="s">
        <v>20</v>
      </c>
      <c r="H287" s="2">
        <v>753</v>
      </c>
      <c r="I287" s="2">
        <v>2.36</v>
      </c>
    </row>
    <row r="288" spans="1:9" x14ac:dyDescent="0.25">
      <c r="A288" s="2" t="s">
        <v>23</v>
      </c>
      <c r="B288" s="2" t="s">
        <v>25</v>
      </c>
      <c r="C288" s="3">
        <v>45668</v>
      </c>
      <c r="D288" s="2">
        <v>3646</v>
      </c>
      <c r="E288" s="2">
        <v>672</v>
      </c>
      <c r="F288" s="2">
        <v>1.87</v>
      </c>
      <c r="G288" s="2" t="s">
        <v>18</v>
      </c>
      <c r="H288" s="2">
        <v>800</v>
      </c>
      <c r="I288" s="2">
        <v>3.54</v>
      </c>
    </row>
    <row r="289" spans="1:9" x14ac:dyDescent="0.25">
      <c r="A289" s="2" t="s">
        <v>23</v>
      </c>
      <c r="B289" s="2" t="s">
        <v>25</v>
      </c>
      <c r="C289" s="3">
        <v>45669</v>
      </c>
      <c r="D289" s="2">
        <v>9969</v>
      </c>
      <c r="E289" s="2">
        <v>1063</v>
      </c>
      <c r="F289" s="2">
        <v>8.44</v>
      </c>
      <c r="G289" s="2" t="s">
        <v>18</v>
      </c>
      <c r="H289" s="2">
        <v>152</v>
      </c>
      <c r="I289" s="2">
        <v>2.5</v>
      </c>
    </row>
    <row r="290" spans="1:9" x14ac:dyDescent="0.25">
      <c r="A290" s="2" t="s">
        <v>26</v>
      </c>
      <c r="B290" s="2" t="s">
        <v>27</v>
      </c>
      <c r="C290" s="3">
        <v>43831</v>
      </c>
      <c r="D290" s="2">
        <v>8531</v>
      </c>
      <c r="E290" s="2">
        <v>333</v>
      </c>
      <c r="F290" s="2">
        <v>2.12</v>
      </c>
      <c r="G290" s="2" t="s">
        <v>21</v>
      </c>
      <c r="H290" s="2">
        <v>932</v>
      </c>
      <c r="I290" s="2">
        <v>1.96</v>
      </c>
    </row>
    <row r="291" spans="1:9" x14ac:dyDescent="0.25">
      <c r="A291" s="2" t="s">
        <v>26</v>
      </c>
      <c r="B291" s="2" t="s">
        <v>27</v>
      </c>
      <c r="C291" s="3">
        <v>43832</v>
      </c>
      <c r="D291" s="2">
        <v>6747</v>
      </c>
      <c r="E291" s="2">
        <v>371</v>
      </c>
      <c r="F291" s="2">
        <v>4.5599999999999996</v>
      </c>
      <c r="G291" s="2" t="s">
        <v>18</v>
      </c>
      <c r="H291" s="2">
        <v>632</v>
      </c>
      <c r="I291" s="2">
        <v>9.8800000000000008</v>
      </c>
    </row>
    <row r="292" spans="1:9" x14ac:dyDescent="0.25">
      <c r="A292" s="2" t="s">
        <v>26</v>
      </c>
      <c r="B292" s="2" t="s">
        <v>27</v>
      </c>
      <c r="C292" s="3">
        <v>43833</v>
      </c>
      <c r="D292" s="2">
        <v>5641</v>
      </c>
      <c r="E292" s="2">
        <v>525</v>
      </c>
      <c r="F292" s="2">
        <v>2.78</v>
      </c>
      <c r="G292" s="2" t="s">
        <v>20</v>
      </c>
      <c r="H292" s="2">
        <v>452</v>
      </c>
      <c r="I292" s="2">
        <v>4.58</v>
      </c>
    </row>
    <row r="293" spans="1:9" x14ac:dyDescent="0.25">
      <c r="A293" s="2" t="s">
        <v>26</v>
      </c>
      <c r="B293" s="2" t="s">
        <v>27</v>
      </c>
      <c r="C293" s="3">
        <v>43834</v>
      </c>
      <c r="D293" s="2">
        <v>3046</v>
      </c>
      <c r="E293" s="2">
        <v>622</v>
      </c>
      <c r="F293" s="2">
        <v>3.83</v>
      </c>
      <c r="G293" s="2" t="s">
        <v>21</v>
      </c>
      <c r="H293" s="2">
        <v>50</v>
      </c>
      <c r="I293" s="2">
        <v>5.84</v>
      </c>
    </row>
    <row r="294" spans="1:9" x14ac:dyDescent="0.25">
      <c r="A294" s="2" t="s">
        <v>26</v>
      </c>
      <c r="B294" s="2" t="s">
        <v>27</v>
      </c>
      <c r="C294" s="3">
        <v>43835</v>
      </c>
      <c r="D294" s="2">
        <v>7817</v>
      </c>
      <c r="E294" s="2">
        <v>338</v>
      </c>
      <c r="F294" s="2">
        <v>8.5399999999999991</v>
      </c>
      <c r="G294" s="2" t="s">
        <v>18</v>
      </c>
      <c r="H294" s="2">
        <v>625</v>
      </c>
      <c r="I294" s="2">
        <v>9.0500000000000007</v>
      </c>
    </row>
    <row r="295" spans="1:9" x14ac:dyDescent="0.25">
      <c r="A295" s="2" t="s">
        <v>26</v>
      </c>
      <c r="B295" s="2" t="s">
        <v>27</v>
      </c>
      <c r="C295" s="3">
        <v>43836</v>
      </c>
      <c r="D295" s="2">
        <v>8068</v>
      </c>
      <c r="E295" s="2">
        <v>669</v>
      </c>
      <c r="F295" s="2">
        <v>1.77</v>
      </c>
      <c r="G295" s="2" t="s">
        <v>17</v>
      </c>
      <c r="H295" s="2">
        <v>65</v>
      </c>
      <c r="I295" s="2">
        <v>8.5299999999999994</v>
      </c>
    </row>
    <row r="296" spans="1:9" x14ac:dyDescent="0.25">
      <c r="A296" s="2" t="s">
        <v>26</v>
      </c>
      <c r="B296" s="2" t="s">
        <v>27</v>
      </c>
      <c r="C296" s="3">
        <v>43837</v>
      </c>
      <c r="D296" s="2">
        <v>6565</v>
      </c>
      <c r="E296" s="2">
        <v>797</v>
      </c>
      <c r="F296" s="2">
        <v>6.43</v>
      </c>
      <c r="G296" s="2" t="s">
        <v>18</v>
      </c>
      <c r="H296" s="2">
        <v>342</v>
      </c>
      <c r="I296" s="2">
        <v>2.83</v>
      </c>
    </row>
    <row r="297" spans="1:9" x14ac:dyDescent="0.25">
      <c r="A297" s="2" t="s">
        <v>26</v>
      </c>
      <c r="B297" s="2" t="s">
        <v>27</v>
      </c>
      <c r="C297" s="3">
        <v>43838</v>
      </c>
      <c r="D297" s="2">
        <v>7007</v>
      </c>
      <c r="E297" s="2">
        <v>1022</v>
      </c>
      <c r="F297" s="2">
        <v>2.48</v>
      </c>
      <c r="G297" s="2" t="s">
        <v>20</v>
      </c>
      <c r="H297" s="2">
        <v>857</v>
      </c>
      <c r="I297" s="2">
        <v>3.06</v>
      </c>
    </row>
    <row r="298" spans="1:9" x14ac:dyDescent="0.25">
      <c r="A298" s="2" t="s">
        <v>26</v>
      </c>
      <c r="B298" s="2" t="s">
        <v>27</v>
      </c>
      <c r="C298" s="3">
        <v>43839</v>
      </c>
      <c r="D298" s="2">
        <v>4107</v>
      </c>
      <c r="E298" s="2">
        <v>581</v>
      </c>
      <c r="F298" s="2">
        <v>6.36</v>
      </c>
      <c r="G298" s="2" t="s">
        <v>17</v>
      </c>
      <c r="H298" s="2">
        <v>487</v>
      </c>
      <c r="I298" s="2">
        <v>0.73</v>
      </c>
    </row>
    <row r="299" spans="1:9" x14ac:dyDescent="0.25">
      <c r="A299" s="2" t="s">
        <v>26</v>
      </c>
      <c r="B299" s="2" t="s">
        <v>27</v>
      </c>
      <c r="C299" s="3">
        <v>43840</v>
      </c>
      <c r="D299" s="2">
        <v>4090</v>
      </c>
      <c r="E299" s="2">
        <v>301</v>
      </c>
      <c r="F299" s="2">
        <v>1.02</v>
      </c>
      <c r="G299" s="2" t="s">
        <v>18</v>
      </c>
      <c r="H299" s="2">
        <v>230</v>
      </c>
      <c r="I299" s="2">
        <v>4.79</v>
      </c>
    </row>
    <row r="300" spans="1:9" x14ac:dyDescent="0.25">
      <c r="A300" s="2" t="s">
        <v>26</v>
      </c>
      <c r="B300" s="2" t="s">
        <v>27</v>
      </c>
      <c r="C300" s="3">
        <v>43841</v>
      </c>
      <c r="D300" s="2">
        <v>3165</v>
      </c>
      <c r="E300" s="2">
        <v>848</v>
      </c>
      <c r="F300" s="2">
        <v>3.14</v>
      </c>
      <c r="G300" s="2" t="s">
        <v>17</v>
      </c>
      <c r="H300" s="2">
        <v>495</v>
      </c>
      <c r="I300" s="2">
        <v>9.65</v>
      </c>
    </row>
    <row r="301" spans="1:9" x14ac:dyDescent="0.25">
      <c r="A301" s="2" t="s">
        <v>26</v>
      </c>
      <c r="B301" s="2" t="s">
        <v>27</v>
      </c>
      <c r="C301" s="3">
        <v>43842</v>
      </c>
      <c r="D301" s="2">
        <v>5916</v>
      </c>
      <c r="E301" s="2">
        <v>269</v>
      </c>
      <c r="F301" s="2">
        <v>7</v>
      </c>
      <c r="G301" s="2" t="s">
        <v>18</v>
      </c>
      <c r="H301" s="2">
        <v>249</v>
      </c>
      <c r="I301" s="2">
        <v>4.0199999999999996</v>
      </c>
    </row>
    <row r="302" spans="1:9" x14ac:dyDescent="0.25">
      <c r="A302" s="2" t="s">
        <v>26</v>
      </c>
      <c r="B302" s="2" t="s">
        <v>27</v>
      </c>
      <c r="C302" s="3">
        <v>44197</v>
      </c>
      <c r="D302" s="2">
        <v>9936</v>
      </c>
      <c r="E302" s="2">
        <v>1135</v>
      </c>
      <c r="F302" s="2">
        <v>5.18</v>
      </c>
      <c r="G302" s="2" t="s">
        <v>20</v>
      </c>
      <c r="H302" s="2">
        <v>397</v>
      </c>
      <c r="I302" s="2">
        <v>1.84</v>
      </c>
    </row>
    <row r="303" spans="1:9" x14ac:dyDescent="0.25">
      <c r="A303" s="2" t="s">
        <v>26</v>
      </c>
      <c r="B303" s="2" t="s">
        <v>27</v>
      </c>
      <c r="C303" s="3">
        <v>44198</v>
      </c>
      <c r="D303" s="2">
        <v>4640</v>
      </c>
      <c r="E303" s="2">
        <v>1197</v>
      </c>
      <c r="F303" s="2">
        <v>9</v>
      </c>
      <c r="G303" s="2" t="s">
        <v>21</v>
      </c>
      <c r="H303" s="2">
        <v>487</v>
      </c>
      <c r="I303" s="2">
        <v>0.41</v>
      </c>
    </row>
    <row r="304" spans="1:9" x14ac:dyDescent="0.25">
      <c r="A304" s="2" t="s">
        <v>26</v>
      </c>
      <c r="B304" s="2" t="s">
        <v>27</v>
      </c>
      <c r="C304" s="3">
        <v>44199</v>
      </c>
      <c r="D304" s="2">
        <v>5561</v>
      </c>
      <c r="E304" s="2">
        <v>813</v>
      </c>
      <c r="F304" s="2">
        <v>3.95</v>
      </c>
      <c r="G304" s="2" t="s">
        <v>21</v>
      </c>
      <c r="H304" s="2">
        <v>522</v>
      </c>
      <c r="I304" s="2">
        <v>7.13</v>
      </c>
    </row>
    <row r="305" spans="1:9" x14ac:dyDescent="0.25">
      <c r="A305" s="2" t="s">
        <v>26</v>
      </c>
      <c r="B305" s="2" t="s">
        <v>27</v>
      </c>
      <c r="C305" s="3">
        <v>44200</v>
      </c>
      <c r="D305" s="2">
        <v>9677</v>
      </c>
      <c r="E305" s="2">
        <v>298</v>
      </c>
      <c r="F305" s="2">
        <v>2.72</v>
      </c>
      <c r="G305" s="2" t="s">
        <v>20</v>
      </c>
      <c r="H305" s="2">
        <v>985</v>
      </c>
      <c r="I305" s="2">
        <v>5.49</v>
      </c>
    </row>
    <row r="306" spans="1:9" x14ac:dyDescent="0.25">
      <c r="A306" s="2" t="s">
        <v>26</v>
      </c>
      <c r="B306" s="2" t="s">
        <v>27</v>
      </c>
      <c r="C306" s="3">
        <v>44201</v>
      </c>
      <c r="D306" s="2">
        <v>6830</v>
      </c>
      <c r="E306" s="2">
        <v>626</v>
      </c>
      <c r="F306" s="2">
        <v>1.07</v>
      </c>
      <c r="G306" s="2" t="s">
        <v>18</v>
      </c>
      <c r="H306" s="2">
        <v>275</v>
      </c>
      <c r="I306" s="2">
        <v>5.89</v>
      </c>
    </row>
    <row r="307" spans="1:9" x14ac:dyDescent="0.25">
      <c r="A307" s="2" t="s">
        <v>26</v>
      </c>
      <c r="B307" s="2" t="s">
        <v>27</v>
      </c>
      <c r="C307" s="3">
        <v>44202</v>
      </c>
      <c r="D307" s="2">
        <v>8710</v>
      </c>
      <c r="E307" s="2">
        <v>257</v>
      </c>
      <c r="F307" s="2">
        <v>4.37</v>
      </c>
      <c r="G307" s="2" t="s">
        <v>18</v>
      </c>
      <c r="H307" s="2">
        <v>924</v>
      </c>
      <c r="I307" s="2">
        <v>5.46</v>
      </c>
    </row>
    <row r="308" spans="1:9" x14ac:dyDescent="0.25">
      <c r="A308" s="2" t="s">
        <v>26</v>
      </c>
      <c r="B308" s="2" t="s">
        <v>27</v>
      </c>
      <c r="C308" s="3">
        <v>44203</v>
      </c>
      <c r="D308" s="2">
        <v>5557</v>
      </c>
      <c r="E308" s="2">
        <v>817</v>
      </c>
      <c r="F308" s="2">
        <v>7.04</v>
      </c>
      <c r="G308" s="2" t="s">
        <v>21</v>
      </c>
      <c r="H308" s="2">
        <v>677</v>
      </c>
      <c r="I308" s="2">
        <v>8.5399999999999991</v>
      </c>
    </row>
    <row r="309" spans="1:9" x14ac:dyDescent="0.25">
      <c r="A309" s="2" t="s">
        <v>26</v>
      </c>
      <c r="B309" s="2" t="s">
        <v>27</v>
      </c>
      <c r="C309" s="3">
        <v>44204</v>
      </c>
      <c r="D309" s="2">
        <v>5881</v>
      </c>
      <c r="E309" s="2">
        <v>1103</v>
      </c>
      <c r="F309" s="2">
        <v>3.64</v>
      </c>
      <c r="G309" s="2" t="s">
        <v>18</v>
      </c>
      <c r="H309" s="2">
        <v>197</v>
      </c>
      <c r="I309" s="2">
        <v>0.81</v>
      </c>
    </row>
    <row r="310" spans="1:9" x14ac:dyDescent="0.25">
      <c r="A310" s="2" t="s">
        <v>26</v>
      </c>
      <c r="B310" s="2" t="s">
        <v>27</v>
      </c>
      <c r="C310" s="3">
        <v>44205</v>
      </c>
      <c r="D310" s="2">
        <v>7283</v>
      </c>
      <c r="E310" s="2">
        <v>1129</v>
      </c>
      <c r="F310" s="2">
        <v>5.08</v>
      </c>
      <c r="G310" s="2" t="s">
        <v>17</v>
      </c>
      <c r="H310" s="2">
        <v>785</v>
      </c>
      <c r="I310" s="2">
        <v>1.6</v>
      </c>
    </row>
    <row r="311" spans="1:9" x14ac:dyDescent="0.25">
      <c r="A311" s="2" t="s">
        <v>26</v>
      </c>
      <c r="B311" s="2" t="s">
        <v>27</v>
      </c>
      <c r="C311" s="3">
        <v>44206</v>
      </c>
      <c r="D311" s="2">
        <v>6442</v>
      </c>
      <c r="E311" s="2">
        <v>665</v>
      </c>
      <c r="F311" s="2">
        <v>1.05</v>
      </c>
      <c r="G311" s="2" t="s">
        <v>20</v>
      </c>
      <c r="H311" s="2">
        <v>467</v>
      </c>
      <c r="I311" s="2">
        <v>7.93</v>
      </c>
    </row>
    <row r="312" spans="1:9" x14ac:dyDescent="0.25">
      <c r="A312" s="2" t="s">
        <v>26</v>
      </c>
      <c r="B312" s="2" t="s">
        <v>27</v>
      </c>
      <c r="C312" s="3">
        <v>44207</v>
      </c>
      <c r="D312" s="2">
        <v>8537</v>
      </c>
      <c r="E312" s="2">
        <v>361</v>
      </c>
      <c r="F312" s="2">
        <v>3.23</v>
      </c>
      <c r="G312" s="2" t="s">
        <v>20</v>
      </c>
      <c r="H312" s="2">
        <v>464</v>
      </c>
      <c r="I312" s="2">
        <v>5.37</v>
      </c>
    </row>
    <row r="313" spans="1:9" x14ac:dyDescent="0.25">
      <c r="A313" s="2" t="s">
        <v>26</v>
      </c>
      <c r="B313" s="2" t="s">
        <v>27</v>
      </c>
      <c r="C313" s="3">
        <v>44208</v>
      </c>
      <c r="D313" s="2">
        <v>5566</v>
      </c>
      <c r="E313" s="2">
        <v>389</v>
      </c>
      <c r="F313" s="2">
        <v>2.87</v>
      </c>
      <c r="G313" s="2" t="s">
        <v>17</v>
      </c>
      <c r="H313" s="2">
        <v>885</v>
      </c>
      <c r="I313" s="2">
        <v>4.47</v>
      </c>
    </row>
    <row r="314" spans="1:9" x14ac:dyDescent="0.25">
      <c r="A314" s="2" t="s">
        <v>26</v>
      </c>
      <c r="B314" s="2" t="s">
        <v>27</v>
      </c>
      <c r="C314" s="3">
        <v>44562</v>
      </c>
      <c r="D314" s="2">
        <v>9765</v>
      </c>
      <c r="E314" s="2">
        <v>931</v>
      </c>
      <c r="F314" s="2">
        <v>2.84</v>
      </c>
      <c r="G314" s="2" t="s">
        <v>20</v>
      </c>
      <c r="H314" s="2">
        <v>170</v>
      </c>
      <c r="I314" s="2">
        <v>5.79</v>
      </c>
    </row>
    <row r="315" spans="1:9" x14ac:dyDescent="0.25">
      <c r="A315" s="2" t="s">
        <v>26</v>
      </c>
      <c r="B315" s="2" t="s">
        <v>27</v>
      </c>
      <c r="C315" s="3">
        <v>44563</v>
      </c>
      <c r="D315" s="2">
        <v>8954</v>
      </c>
      <c r="E315" s="2">
        <v>833</v>
      </c>
      <c r="F315" s="2">
        <v>2.92</v>
      </c>
      <c r="G315" s="2" t="s">
        <v>20</v>
      </c>
      <c r="H315" s="2">
        <v>699</v>
      </c>
      <c r="I315" s="2">
        <v>9.98</v>
      </c>
    </row>
    <row r="316" spans="1:9" x14ac:dyDescent="0.25">
      <c r="A316" s="2" t="s">
        <v>26</v>
      </c>
      <c r="B316" s="2" t="s">
        <v>27</v>
      </c>
      <c r="C316" s="3">
        <v>44564</v>
      </c>
      <c r="D316" s="2">
        <v>7065</v>
      </c>
      <c r="E316" s="2">
        <v>1037</v>
      </c>
      <c r="F316" s="2">
        <v>5.25</v>
      </c>
      <c r="G316" s="2" t="s">
        <v>21</v>
      </c>
      <c r="H316" s="2">
        <v>753</v>
      </c>
      <c r="I316" s="2">
        <v>7.09</v>
      </c>
    </row>
    <row r="317" spans="1:9" x14ac:dyDescent="0.25">
      <c r="A317" s="2" t="s">
        <v>26</v>
      </c>
      <c r="B317" s="2" t="s">
        <v>27</v>
      </c>
      <c r="C317" s="3">
        <v>44565</v>
      </c>
      <c r="D317" s="2">
        <v>3720</v>
      </c>
      <c r="E317" s="2">
        <v>804</v>
      </c>
      <c r="F317" s="2">
        <v>5.29</v>
      </c>
      <c r="G317" s="2" t="s">
        <v>20</v>
      </c>
      <c r="H317" s="2">
        <v>529</v>
      </c>
      <c r="I317" s="2">
        <v>2.72</v>
      </c>
    </row>
    <row r="318" spans="1:9" x14ac:dyDescent="0.25">
      <c r="A318" s="2" t="s">
        <v>26</v>
      </c>
      <c r="B318" s="2" t="s">
        <v>27</v>
      </c>
      <c r="C318" s="3">
        <v>44566</v>
      </c>
      <c r="D318" s="2">
        <v>3628</v>
      </c>
      <c r="E318" s="2">
        <v>643</v>
      </c>
      <c r="F318" s="2">
        <v>1.66</v>
      </c>
      <c r="G318" s="2" t="s">
        <v>18</v>
      </c>
      <c r="H318" s="2">
        <v>909</v>
      </c>
      <c r="I318" s="2">
        <v>2.4</v>
      </c>
    </row>
    <row r="319" spans="1:9" x14ac:dyDescent="0.25">
      <c r="A319" s="2" t="s">
        <v>26</v>
      </c>
      <c r="B319" s="2" t="s">
        <v>27</v>
      </c>
      <c r="C319" s="3">
        <v>44567</v>
      </c>
      <c r="D319" s="2">
        <v>7100</v>
      </c>
      <c r="E319" s="2">
        <v>317</v>
      </c>
      <c r="F319" s="2">
        <v>4.4000000000000004</v>
      </c>
      <c r="G319" s="2" t="s">
        <v>18</v>
      </c>
      <c r="H319" s="2">
        <v>508</v>
      </c>
      <c r="I319" s="2">
        <v>6.2</v>
      </c>
    </row>
    <row r="320" spans="1:9" x14ac:dyDescent="0.25">
      <c r="A320" s="2" t="s">
        <v>26</v>
      </c>
      <c r="B320" s="2" t="s">
        <v>27</v>
      </c>
      <c r="C320" s="3">
        <v>44568</v>
      </c>
      <c r="D320" s="2">
        <v>7786</v>
      </c>
      <c r="E320" s="2">
        <v>1028</v>
      </c>
      <c r="F320" s="2">
        <v>4.8</v>
      </c>
      <c r="G320" s="2" t="s">
        <v>21</v>
      </c>
      <c r="H320" s="2">
        <v>95</v>
      </c>
      <c r="I320" s="2">
        <v>6.59</v>
      </c>
    </row>
    <row r="321" spans="1:9" x14ac:dyDescent="0.25">
      <c r="A321" s="2" t="s">
        <v>26</v>
      </c>
      <c r="B321" s="2" t="s">
        <v>27</v>
      </c>
      <c r="C321" s="3">
        <v>44569</v>
      </c>
      <c r="D321" s="2">
        <v>5568</v>
      </c>
      <c r="E321" s="2">
        <v>544</v>
      </c>
      <c r="F321" s="2">
        <v>7.03</v>
      </c>
      <c r="G321" s="2" t="s">
        <v>18</v>
      </c>
      <c r="H321" s="2">
        <v>934</v>
      </c>
      <c r="I321" s="2">
        <v>2.17</v>
      </c>
    </row>
    <row r="322" spans="1:9" x14ac:dyDescent="0.25">
      <c r="A322" s="2" t="s">
        <v>26</v>
      </c>
      <c r="B322" s="2" t="s">
        <v>27</v>
      </c>
      <c r="C322" s="3">
        <v>44570</v>
      </c>
      <c r="D322" s="2">
        <v>4628</v>
      </c>
      <c r="E322" s="2">
        <v>1048</v>
      </c>
      <c r="F322" s="2">
        <v>8.4</v>
      </c>
      <c r="G322" s="2" t="s">
        <v>21</v>
      </c>
      <c r="H322" s="2">
        <v>929</v>
      </c>
      <c r="I322" s="2">
        <v>1.94</v>
      </c>
    </row>
    <row r="323" spans="1:9" x14ac:dyDescent="0.25">
      <c r="A323" s="2" t="s">
        <v>26</v>
      </c>
      <c r="B323" s="2" t="s">
        <v>27</v>
      </c>
      <c r="C323" s="3">
        <v>44571</v>
      </c>
      <c r="D323" s="2">
        <v>6088</v>
      </c>
      <c r="E323" s="2">
        <v>333</v>
      </c>
      <c r="F323" s="2">
        <v>1.8</v>
      </c>
      <c r="G323" s="2" t="s">
        <v>18</v>
      </c>
      <c r="H323" s="2">
        <v>917</v>
      </c>
      <c r="I323" s="2">
        <v>6.45</v>
      </c>
    </row>
    <row r="324" spans="1:9" x14ac:dyDescent="0.25">
      <c r="A324" s="2" t="s">
        <v>26</v>
      </c>
      <c r="B324" s="2" t="s">
        <v>27</v>
      </c>
      <c r="C324" s="3">
        <v>44572</v>
      </c>
      <c r="D324" s="2">
        <v>7785</v>
      </c>
      <c r="E324" s="2">
        <v>657</v>
      </c>
      <c r="F324" s="2">
        <v>8.35</v>
      </c>
      <c r="G324" s="2" t="s">
        <v>18</v>
      </c>
      <c r="H324" s="2">
        <v>751</v>
      </c>
      <c r="I324" s="2">
        <v>2.42</v>
      </c>
    </row>
    <row r="325" spans="1:9" x14ac:dyDescent="0.25">
      <c r="A325" s="2" t="s">
        <v>26</v>
      </c>
      <c r="B325" s="2" t="s">
        <v>27</v>
      </c>
      <c r="C325" s="3">
        <v>44573</v>
      </c>
      <c r="D325" s="2">
        <v>3257</v>
      </c>
      <c r="E325" s="2">
        <v>405</v>
      </c>
      <c r="F325" s="2">
        <v>1.31</v>
      </c>
      <c r="G325" s="2" t="s">
        <v>21</v>
      </c>
      <c r="H325" s="2">
        <v>868</v>
      </c>
      <c r="I325" s="2">
        <v>8.3800000000000008</v>
      </c>
    </row>
    <row r="326" spans="1:9" x14ac:dyDescent="0.25">
      <c r="A326" s="2" t="s">
        <v>26</v>
      </c>
      <c r="B326" s="2" t="s">
        <v>27</v>
      </c>
      <c r="C326" s="3">
        <v>44927</v>
      </c>
      <c r="D326" s="2">
        <v>7029</v>
      </c>
      <c r="E326" s="2">
        <v>713</v>
      </c>
      <c r="F326" s="2">
        <v>4.7699999999999996</v>
      </c>
      <c r="G326" s="2" t="s">
        <v>18</v>
      </c>
      <c r="H326" s="2">
        <v>696</v>
      </c>
      <c r="I326" s="2">
        <v>8.61</v>
      </c>
    </row>
    <row r="327" spans="1:9" x14ac:dyDescent="0.25">
      <c r="A327" s="2" t="s">
        <v>26</v>
      </c>
      <c r="B327" s="2" t="s">
        <v>27</v>
      </c>
      <c r="C327" s="3">
        <v>44928</v>
      </c>
      <c r="D327" s="2">
        <v>9268</v>
      </c>
      <c r="E327" s="2">
        <v>462</v>
      </c>
      <c r="F327" s="2">
        <v>8.2899999999999991</v>
      </c>
      <c r="G327" s="2" t="s">
        <v>21</v>
      </c>
      <c r="H327" s="2">
        <v>608</v>
      </c>
      <c r="I327" s="2">
        <v>6.88</v>
      </c>
    </row>
    <row r="328" spans="1:9" x14ac:dyDescent="0.25">
      <c r="A328" s="2" t="s">
        <v>26</v>
      </c>
      <c r="B328" s="2" t="s">
        <v>27</v>
      </c>
      <c r="C328" s="3">
        <v>44929</v>
      </c>
      <c r="D328" s="2">
        <v>3171</v>
      </c>
      <c r="E328" s="2">
        <v>844</v>
      </c>
      <c r="F328" s="2">
        <v>3.65</v>
      </c>
      <c r="G328" s="2" t="s">
        <v>17</v>
      </c>
      <c r="H328" s="2">
        <v>404</v>
      </c>
      <c r="I328" s="2">
        <v>7.56</v>
      </c>
    </row>
    <row r="329" spans="1:9" x14ac:dyDescent="0.25">
      <c r="A329" s="2" t="s">
        <v>26</v>
      </c>
      <c r="B329" s="2" t="s">
        <v>27</v>
      </c>
      <c r="C329" s="3">
        <v>44930</v>
      </c>
      <c r="D329" s="2">
        <v>4897</v>
      </c>
      <c r="E329" s="2">
        <v>346</v>
      </c>
      <c r="F329" s="2">
        <v>2.21</v>
      </c>
      <c r="G329" s="2" t="s">
        <v>18</v>
      </c>
      <c r="H329" s="2">
        <v>872</v>
      </c>
      <c r="I329" s="2">
        <v>6.58</v>
      </c>
    </row>
    <row r="330" spans="1:9" x14ac:dyDescent="0.25">
      <c r="A330" s="2" t="s">
        <v>26</v>
      </c>
      <c r="B330" s="2" t="s">
        <v>27</v>
      </c>
      <c r="C330" s="3">
        <v>44931</v>
      </c>
      <c r="D330" s="2">
        <v>9725</v>
      </c>
      <c r="E330" s="2">
        <v>234</v>
      </c>
      <c r="F330" s="2">
        <v>3.93</v>
      </c>
      <c r="G330" s="2" t="s">
        <v>18</v>
      </c>
      <c r="H330" s="2">
        <v>150</v>
      </c>
      <c r="I330" s="2">
        <v>7.49</v>
      </c>
    </row>
    <row r="331" spans="1:9" x14ac:dyDescent="0.25">
      <c r="A331" s="2" t="s">
        <v>26</v>
      </c>
      <c r="B331" s="2" t="s">
        <v>27</v>
      </c>
      <c r="C331" s="3">
        <v>44932</v>
      </c>
      <c r="D331" s="2">
        <v>5761</v>
      </c>
      <c r="E331" s="2">
        <v>722</v>
      </c>
      <c r="F331" s="2">
        <v>4.1399999999999997</v>
      </c>
      <c r="G331" s="2" t="s">
        <v>21</v>
      </c>
      <c r="H331" s="2">
        <v>65</v>
      </c>
      <c r="I331" s="2">
        <v>3.7</v>
      </c>
    </row>
    <row r="332" spans="1:9" x14ac:dyDescent="0.25">
      <c r="A332" s="2" t="s">
        <v>26</v>
      </c>
      <c r="B332" s="2" t="s">
        <v>27</v>
      </c>
      <c r="C332" s="3">
        <v>44933</v>
      </c>
      <c r="D332" s="2">
        <v>8882</v>
      </c>
      <c r="E332" s="2">
        <v>244</v>
      </c>
      <c r="F332" s="2">
        <v>7.48</v>
      </c>
      <c r="G332" s="2" t="s">
        <v>18</v>
      </c>
      <c r="H332" s="2">
        <v>409</v>
      </c>
      <c r="I332" s="2">
        <v>8.4700000000000006</v>
      </c>
    </row>
    <row r="333" spans="1:9" x14ac:dyDescent="0.25">
      <c r="A333" s="2" t="s">
        <v>26</v>
      </c>
      <c r="B333" s="2" t="s">
        <v>27</v>
      </c>
      <c r="C333" s="3">
        <v>44934</v>
      </c>
      <c r="D333" s="2">
        <v>3823</v>
      </c>
      <c r="E333" s="2">
        <v>878</v>
      </c>
      <c r="F333" s="2">
        <v>8.02</v>
      </c>
      <c r="G333" s="2" t="s">
        <v>18</v>
      </c>
      <c r="H333" s="2">
        <v>969</v>
      </c>
      <c r="I333" s="2">
        <v>7.45</v>
      </c>
    </row>
    <row r="334" spans="1:9" x14ac:dyDescent="0.25">
      <c r="A334" s="2" t="s">
        <v>26</v>
      </c>
      <c r="B334" s="2" t="s">
        <v>27</v>
      </c>
      <c r="C334" s="3">
        <v>44935</v>
      </c>
      <c r="D334" s="2">
        <v>5798</v>
      </c>
      <c r="E334" s="2">
        <v>665</v>
      </c>
      <c r="F334" s="2">
        <v>6.48</v>
      </c>
      <c r="G334" s="2" t="s">
        <v>21</v>
      </c>
      <c r="H334" s="2">
        <v>142</v>
      </c>
      <c r="I334" s="2">
        <v>8.58</v>
      </c>
    </row>
    <row r="335" spans="1:9" x14ac:dyDescent="0.25">
      <c r="A335" s="2" t="s">
        <v>26</v>
      </c>
      <c r="B335" s="2" t="s">
        <v>27</v>
      </c>
      <c r="C335" s="3">
        <v>44936</v>
      </c>
      <c r="D335" s="2">
        <v>6108</v>
      </c>
      <c r="E335" s="2">
        <v>862</v>
      </c>
      <c r="F335" s="2">
        <v>4.78</v>
      </c>
      <c r="G335" s="2" t="s">
        <v>18</v>
      </c>
      <c r="H335" s="2">
        <v>360</v>
      </c>
      <c r="I335" s="2">
        <v>8.49</v>
      </c>
    </row>
    <row r="336" spans="1:9" x14ac:dyDescent="0.25">
      <c r="A336" s="2" t="s">
        <v>26</v>
      </c>
      <c r="B336" s="2" t="s">
        <v>27</v>
      </c>
      <c r="C336" s="3">
        <v>44937</v>
      </c>
      <c r="D336" s="2">
        <v>9267</v>
      </c>
      <c r="E336" s="2">
        <v>319</v>
      </c>
      <c r="F336" s="2">
        <v>1.61</v>
      </c>
      <c r="G336" s="2" t="s">
        <v>18</v>
      </c>
      <c r="H336" s="2">
        <v>870</v>
      </c>
      <c r="I336" s="2">
        <v>9.11</v>
      </c>
    </row>
    <row r="337" spans="1:9" x14ac:dyDescent="0.25">
      <c r="A337" s="2" t="s">
        <v>26</v>
      </c>
      <c r="B337" s="2" t="s">
        <v>27</v>
      </c>
      <c r="C337" s="3">
        <v>44938</v>
      </c>
      <c r="D337" s="2">
        <v>9561</v>
      </c>
      <c r="E337" s="2">
        <v>426</v>
      </c>
      <c r="F337" s="2">
        <v>1.08</v>
      </c>
      <c r="G337" s="2" t="s">
        <v>20</v>
      </c>
      <c r="H337" s="2">
        <v>870</v>
      </c>
      <c r="I337" s="2">
        <v>6.14</v>
      </c>
    </row>
    <row r="338" spans="1:9" x14ac:dyDescent="0.25">
      <c r="A338" s="2" t="s">
        <v>26</v>
      </c>
      <c r="B338" s="2" t="s">
        <v>27</v>
      </c>
      <c r="C338" s="3">
        <v>45292</v>
      </c>
      <c r="D338" s="2">
        <v>8465</v>
      </c>
      <c r="E338" s="2">
        <v>908</v>
      </c>
      <c r="F338" s="2">
        <v>7.42</v>
      </c>
      <c r="G338" s="2" t="s">
        <v>17</v>
      </c>
      <c r="H338" s="2">
        <v>868</v>
      </c>
      <c r="I338" s="2">
        <v>4.91</v>
      </c>
    </row>
    <row r="339" spans="1:9" x14ac:dyDescent="0.25">
      <c r="A339" s="2" t="s">
        <v>26</v>
      </c>
      <c r="B339" s="2" t="s">
        <v>27</v>
      </c>
      <c r="C339" s="3">
        <v>45293</v>
      </c>
      <c r="D339" s="2">
        <v>3499</v>
      </c>
      <c r="E339" s="2">
        <v>751</v>
      </c>
      <c r="F339" s="2">
        <v>5.59</v>
      </c>
      <c r="G339" s="2" t="s">
        <v>21</v>
      </c>
      <c r="H339" s="2">
        <v>339</v>
      </c>
      <c r="I339" s="2">
        <v>3.67</v>
      </c>
    </row>
    <row r="340" spans="1:9" x14ac:dyDescent="0.25">
      <c r="A340" s="2" t="s">
        <v>26</v>
      </c>
      <c r="B340" s="2" t="s">
        <v>27</v>
      </c>
      <c r="C340" s="3">
        <v>45294</v>
      </c>
      <c r="D340" s="2">
        <v>9743</v>
      </c>
      <c r="E340" s="2">
        <v>1164</v>
      </c>
      <c r="F340" s="2">
        <v>5.61</v>
      </c>
      <c r="G340" s="2" t="s">
        <v>21</v>
      </c>
      <c r="H340" s="2">
        <v>680</v>
      </c>
      <c r="I340" s="2">
        <v>4.87</v>
      </c>
    </row>
    <row r="341" spans="1:9" x14ac:dyDescent="0.25">
      <c r="A341" s="2" t="s">
        <v>26</v>
      </c>
      <c r="B341" s="2" t="s">
        <v>27</v>
      </c>
      <c r="C341" s="3">
        <v>45295</v>
      </c>
      <c r="D341" s="2">
        <v>5141</v>
      </c>
      <c r="E341" s="2">
        <v>1057</v>
      </c>
      <c r="F341" s="2">
        <v>7.89</v>
      </c>
      <c r="G341" s="2" t="s">
        <v>17</v>
      </c>
      <c r="H341" s="2">
        <v>931</v>
      </c>
      <c r="I341" s="2">
        <v>2.39</v>
      </c>
    </row>
    <row r="342" spans="1:9" x14ac:dyDescent="0.25">
      <c r="A342" s="2" t="s">
        <v>26</v>
      </c>
      <c r="B342" s="2" t="s">
        <v>27</v>
      </c>
      <c r="C342" s="3">
        <v>45296</v>
      </c>
      <c r="D342" s="2">
        <v>3380</v>
      </c>
      <c r="E342" s="2">
        <v>1101</v>
      </c>
      <c r="F342" s="2">
        <v>8.9499999999999993</v>
      </c>
      <c r="G342" s="2" t="s">
        <v>18</v>
      </c>
      <c r="H342" s="2">
        <v>581</v>
      </c>
      <c r="I342" s="2">
        <v>5</v>
      </c>
    </row>
    <row r="343" spans="1:9" x14ac:dyDescent="0.25">
      <c r="A343" s="2" t="s">
        <v>26</v>
      </c>
      <c r="B343" s="2" t="s">
        <v>27</v>
      </c>
      <c r="C343" s="3">
        <v>45297</v>
      </c>
      <c r="D343" s="2">
        <v>3486</v>
      </c>
      <c r="E343" s="2">
        <v>419</v>
      </c>
      <c r="F343" s="2">
        <v>2.11</v>
      </c>
      <c r="G343" s="2" t="s">
        <v>21</v>
      </c>
      <c r="H343" s="2">
        <v>739</v>
      </c>
      <c r="I343" s="2">
        <v>7.73</v>
      </c>
    </row>
    <row r="344" spans="1:9" x14ac:dyDescent="0.25">
      <c r="A344" s="2" t="s">
        <v>26</v>
      </c>
      <c r="B344" s="2" t="s">
        <v>27</v>
      </c>
      <c r="C344" s="3">
        <v>45298</v>
      </c>
      <c r="D344" s="2">
        <v>9409</v>
      </c>
      <c r="E344" s="2">
        <v>210</v>
      </c>
      <c r="F344" s="2">
        <v>7.06</v>
      </c>
      <c r="G344" s="2" t="s">
        <v>17</v>
      </c>
      <c r="H344" s="2">
        <v>304</v>
      </c>
      <c r="I344" s="2">
        <v>5.58</v>
      </c>
    </row>
    <row r="345" spans="1:9" x14ac:dyDescent="0.25">
      <c r="A345" s="2" t="s">
        <v>26</v>
      </c>
      <c r="B345" s="2" t="s">
        <v>27</v>
      </c>
      <c r="C345" s="3">
        <v>45299</v>
      </c>
      <c r="D345" s="2">
        <v>8933</v>
      </c>
      <c r="E345" s="2">
        <v>1075</v>
      </c>
      <c r="F345" s="2">
        <v>8.11</v>
      </c>
      <c r="G345" s="2" t="s">
        <v>20</v>
      </c>
      <c r="H345" s="2">
        <v>100</v>
      </c>
      <c r="I345" s="2">
        <v>4.49</v>
      </c>
    </row>
    <row r="346" spans="1:9" x14ac:dyDescent="0.25">
      <c r="A346" s="2" t="s">
        <v>26</v>
      </c>
      <c r="B346" s="2" t="s">
        <v>27</v>
      </c>
      <c r="C346" s="3">
        <v>45300</v>
      </c>
      <c r="D346" s="2">
        <v>3367</v>
      </c>
      <c r="E346" s="2">
        <v>740</v>
      </c>
      <c r="F346" s="2">
        <v>9.81</v>
      </c>
      <c r="G346" s="2" t="s">
        <v>21</v>
      </c>
      <c r="H346" s="2">
        <v>540</v>
      </c>
      <c r="I346" s="2">
        <v>9.27</v>
      </c>
    </row>
    <row r="347" spans="1:9" x14ac:dyDescent="0.25">
      <c r="A347" s="2" t="s">
        <v>26</v>
      </c>
      <c r="B347" s="2" t="s">
        <v>27</v>
      </c>
      <c r="C347" s="3">
        <v>45301</v>
      </c>
      <c r="D347" s="2">
        <v>8844</v>
      </c>
      <c r="E347" s="2">
        <v>1008</v>
      </c>
      <c r="F347" s="2">
        <v>8.09</v>
      </c>
      <c r="G347" s="2" t="s">
        <v>21</v>
      </c>
      <c r="H347" s="2">
        <v>602</v>
      </c>
      <c r="I347" s="2">
        <v>2.83</v>
      </c>
    </row>
    <row r="348" spans="1:9" x14ac:dyDescent="0.25">
      <c r="A348" s="2" t="s">
        <v>26</v>
      </c>
      <c r="B348" s="2" t="s">
        <v>27</v>
      </c>
      <c r="C348" s="3">
        <v>45302</v>
      </c>
      <c r="D348" s="2">
        <v>7602</v>
      </c>
      <c r="E348" s="2">
        <v>1166</v>
      </c>
      <c r="F348" s="2">
        <v>7.8</v>
      </c>
      <c r="G348" s="2" t="s">
        <v>20</v>
      </c>
      <c r="H348" s="2">
        <v>865</v>
      </c>
      <c r="I348" s="2">
        <v>8.77</v>
      </c>
    </row>
    <row r="349" spans="1:9" x14ac:dyDescent="0.25">
      <c r="A349" s="2" t="s">
        <v>26</v>
      </c>
      <c r="B349" s="2" t="s">
        <v>27</v>
      </c>
      <c r="C349" s="3">
        <v>45303</v>
      </c>
      <c r="D349" s="2">
        <v>3119</v>
      </c>
      <c r="E349" s="2">
        <v>414</v>
      </c>
      <c r="F349" s="2">
        <v>2.0299999999999998</v>
      </c>
      <c r="G349" s="2" t="s">
        <v>18</v>
      </c>
      <c r="H349" s="2">
        <v>607</v>
      </c>
      <c r="I349" s="2">
        <v>7.43</v>
      </c>
    </row>
    <row r="350" spans="1:9" x14ac:dyDescent="0.25">
      <c r="A350" s="2" t="s">
        <v>26</v>
      </c>
      <c r="B350" s="2" t="s">
        <v>27</v>
      </c>
      <c r="C350" s="3">
        <v>45658</v>
      </c>
      <c r="D350" s="2">
        <v>3282</v>
      </c>
      <c r="E350" s="2">
        <v>314</v>
      </c>
      <c r="F350" s="2">
        <v>6.89</v>
      </c>
      <c r="G350" s="2" t="s">
        <v>21</v>
      </c>
      <c r="H350" s="2">
        <v>747</v>
      </c>
      <c r="I350" s="2">
        <v>6.94</v>
      </c>
    </row>
    <row r="351" spans="1:9" x14ac:dyDescent="0.25">
      <c r="A351" s="2" t="s">
        <v>26</v>
      </c>
      <c r="B351" s="2" t="s">
        <v>27</v>
      </c>
      <c r="C351" s="3">
        <v>45659</v>
      </c>
      <c r="D351" s="2">
        <v>4785</v>
      </c>
      <c r="E351" s="2">
        <v>685</v>
      </c>
      <c r="F351" s="2">
        <v>1.04</v>
      </c>
      <c r="G351" s="2" t="s">
        <v>18</v>
      </c>
      <c r="H351" s="2">
        <v>664</v>
      </c>
      <c r="I351" s="2">
        <v>1.87</v>
      </c>
    </row>
    <row r="352" spans="1:9" x14ac:dyDescent="0.25">
      <c r="A352" s="2" t="s">
        <v>26</v>
      </c>
      <c r="B352" s="2" t="s">
        <v>27</v>
      </c>
      <c r="C352" s="3">
        <v>45660</v>
      </c>
      <c r="D352" s="2">
        <v>6196</v>
      </c>
      <c r="E352" s="2">
        <v>789</v>
      </c>
      <c r="F352" s="2">
        <v>3.12</v>
      </c>
      <c r="G352" s="2" t="s">
        <v>21</v>
      </c>
      <c r="H352" s="2">
        <v>69</v>
      </c>
      <c r="I352" s="2">
        <v>0.06</v>
      </c>
    </row>
    <row r="353" spans="1:9" x14ac:dyDescent="0.25">
      <c r="A353" s="2" t="s">
        <v>26</v>
      </c>
      <c r="B353" s="2" t="s">
        <v>27</v>
      </c>
      <c r="C353" s="3">
        <v>45661</v>
      </c>
      <c r="D353" s="2">
        <v>4273</v>
      </c>
      <c r="E353" s="2">
        <v>557</v>
      </c>
      <c r="F353" s="2">
        <v>8.82</v>
      </c>
      <c r="G353" s="2" t="s">
        <v>17</v>
      </c>
      <c r="H353" s="2">
        <v>261</v>
      </c>
      <c r="I353" s="2">
        <v>1.1000000000000001</v>
      </c>
    </row>
    <row r="354" spans="1:9" x14ac:dyDescent="0.25">
      <c r="A354" s="2" t="s">
        <v>26</v>
      </c>
      <c r="B354" s="2" t="s">
        <v>27</v>
      </c>
      <c r="C354" s="3">
        <v>45662</v>
      </c>
      <c r="D354" s="2">
        <v>6023</v>
      </c>
      <c r="E354" s="2">
        <v>1035</v>
      </c>
      <c r="F354" s="2">
        <v>7.23</v>
      </c>
      <c r="G354" s="2" t="s">
        <v>21</v>
      </c>
      <c r="H354" s="2">
        <v>577</v>
      </c>
      <c r="I354" s="2">
        <v>1.68</v>
      </c>
    </row>
    <row r="355" spans="1:9" x14ac:dyDescent="0.25">
      <c r="A355" s="2" t="s">
        <v>26</v>
      </c>
      <c r="B355" s="2" t="s">
        <v>27</v>
      </c>
      <c r="C355" s="3">
        <v>45663</v>
      </c>
      <c r="D355" s="2">
        <v>7978</v>
      </c>
      <c r="E355" s="2">
        <v>609</v>
      </c>
      <c r="F355" s="2">
        <v>3.78</v>
      </c>
      <c r="G355" s="2" t="s">
        <v>18</v>
      </c>
      <c r="H355" s="2">
        <v>926</v>
      </c>
      <c r="I355" s="2">
        <v>2.5299999999999998</v>
      </c>
    </row>
    <row r="356" spans="1:9" x14ac:dyDescent="0.25">
      <c r="A356" s="2" t="s">
        <v>26</v>
      </c>
      <c r="B356" s="2" t="s">
        <v>27</v>
      </c>
      <c r="C356" s="3">
        <v>45664</v>
      </c>
      <c r="D356" s="2">
        <v>3186</v>
      </c>
      <c r="E356" s="2">
        <v>699</v>
      </c>
      <c r="F356" s="2">
        <v>2.2200000000000002</v>
      </c>
      <c r="G356" s="2" t="s">
        <v>17</v>
      </c>
      <c r="H356" s="2">
        <v>576</v>
      </c>
      <c r="I356" s="2">
        <v>0.67</v>
      </c>
    </row>
    <row r="357" spans="1:9" x14ac:dyDescent="0.25">
      <c r="A357" s="2" t="s">
        <v>26</v>
      </c>
      <c r="B357" s="2" t="s">
        <v>27</v>
      </c>
      <c r="C357" s="3">
        <v>45665</v>
      </c>
      <c r="D357" s="2">
        <v>3985</v>
      </c>
      <c r="E357" s="2">
        <v>571</v>
      </c>
      <c r="F357" s="2">
        <v>2.72</v>
      </c>
      <c r="G357" s="2" t="s">
        <v>20</v>
      </c>
      <c r="H357" s="2">
        <v>747</v>
      </c>
      <c r="I357" s="2">
        <v>0.43</v>
      </c>
    </row>
    <row r="358" spans="1:9" x14ac:dyDescent="0.25">
      <c r="A358" s="2" t="s">
        <v>26</v>
      </c>
      <c r="B358" s="2" t="s">
        <v>27</v>
      </c>
      <c r="C358" s="3">
        <v>45666</v>
      </c>
      <c r="D358" s="2">
        <v>4358</v>
      </c>
      <c r="E358" s="2">
        <v>1056</v>
      </c>
      <c r="F358" s="2">
        <v>9.65</v>
      </c>
      <c r="G358" s="2" t="s">
        <v>18</v>
      </c>
      <c r="H358" s="2">
        <v>129</v>
      </c>
      <c r="I358" s="2">
        <v>2.99</v>
      </c>
    </row>
    <row r="359" spans="1:9" x14ac:dyDescent="0.25">
      <c r="A359" s="2" t="s">
        <v>26</v>
      </c>
      <c r="B359" s="2" t="s">
        <v>27</v>
      </c>
      <c r="C359" s="3">
        <v>45667</v>
      </c>
      <c r="D359" s="2">
        <v>5841</v>
      </c>
      <c r="E359" s="2">
        <v>575</v>
      </c>
      <c r="F359" s="2">
        <v>6.92</v>
      </c>
      <c r="G359" s="2" t="s">
        <v>20</v>
      </c>
      <c r="H359" s="2">
        <v>813</v>
      </c>
      <c r="I359" s="2">
        <v>8.89</v>
      </c>
    </row>
    <row r="360" spans="1:9" x14ac:dyDescent="0.25">
      <c r="A360" s="2" t="s">
        <v>26</v>
      </c>
      <c r="B360" s="2" t="s">
        <v>27</v>
      </c>
      <c r="C360" s="3">
        <v>45668</v>
      </c>
      <c r="D360" s="2">
        <v>3261</v>
      </c>
      <c r="E360" s="2">
        <v>1173</v>
      </c>
      <c r="F360" s="2">
        <v>2.35</v>
      </c>
      <c r="G360" s="2" t="s">
        <v>17</v>
      </c>
      <c r="H360" s="2">
        <v>766</v>
      </c>
      <c r="I360" s="2">
        <v>6.2</v>
      </c>
    </row>
    <row r="361" spans="1:9" x14ac:dyDescent="0.25">
      <c r="A361" s="2" t="s">
        <v>26</v>
      </c>
      <c r="B361" s="2" t="s">
        <v>27</v>
      </c>
      <c r="C361" s="3">
        <v>45669</v>
      </c>
      <c r="D361" s="2">
        <v>3013</v>
      </c>
      <c r="E361" s="2">
        <v>440</v>
      </c>
      <c r="F361" s="2">
        <v>1.67</v>
      </c>
      <c r="G361" s="2" t="s">
        <v>17</v>
      </c>
      <c r="H361" s="2">
        <v>546</v>
      </c>
      <c r="I361" s="2">
        <v>4.55</v>
      </c>
    </row>
    <row r="362" spans="1:9" x14ac:dyDescent="0.25">
      <c r="A362" s="2" t="s">
        <v>26</v>
      </c>
      <c r="B362" s="2" t="s">
        <v>28</v>
      </c>
      <c r="C362" s="3">
        <v>43831</v>
      </c>
      <c r="D362" s="2">
        <v>6778</v>
      </c>
      <c r="E362" s="2">
        <v>1042</v>
      </c>
      <c r="F362" s="2">
        <v>3.38</v>
      </c>
      <c r="G362" s="2" t="s">
        <v>18</v>
      </c>
      <c r="H362" s="2">
        <v>98</v>
      </c>
      <c r="I362" s="2">
        <v>3.4</v>
      </c>
    </row>
    <row r="363" spans="1:9" x14ac:dyDescent="0.25">
      <c r="A363" s="2" t="s">
        <v>26</v>
      </c>
      <c r="B363" s="2" t="s">
        <v>28</v>
      </c>
      <c r="C363" s="3">
        <v>43832</v>
      </c>
      <c r="D363" s="2">
        <v>9838</v>
      </c>
      <c r="E363" s="2">
        <v>986</v>
      </c>
      <c r="F363" s="2">
        <v>5.88</v>
      </c>
      <c r="G363" s="2" t="s">
        <v>20</v>
      </c>
      <c r="H363" s="2">
        <v>83</v>
      </c>
      <c r="I363" s="2">
        <v>5.28</v>
      </c>
    </row>
    <row r="364" spans="1:9" x14ac:dyDescent="0.25">
      <c r="A364" s="2" t="s">
        <v>26</v>
      </c>
      <c r="B364" s="2" t="s">
        <v>28</v>
      </c>
      <c r="C364" s="3">
        <v>43833</v>
      </c>
      <c r="D364" s="2">
        <v>4149</v>
      </c>
      <c r="E364" s="2">
        <v>595</v>
      </c>
      <c r="F364" s="2">
        <v>7.71</v>
      </c>
      <c r="G364" s="2" t="s">
        <v>20</v>
      </c>
      <c r="H364" s="2">
        <v>537</v>
      </c>
      <c r="I364" s="2">
        <v>3.8</v>
      </c>
    </row>
    <row r="365" spans="1:9" x14ac:dyDescent="0.25">
      <c r="A365" s="2" t="s">
        <v>26</v>
      </c>
      <c r="B365" s="2" t="s">
        <v>28</v>
      </c>
      <c r="C365" s="3">
        <v>43834</v>
      </c>
      <c r="D365" s="2">
        <v>5699</v>
      </c>
      <c r="E365" s="2">
        <v>375</v>
      </c>
      <c r="F365" s="2">
        <v>2.81</v>
      </c>
      <c r="G365" s="2" t="s">
        <v>17</v>
      </c>
      <c r="H365" s="2">
        <v>937</v>
      </c>
      <c r="I365" s="2">
        <v>5.46</v>
      </c>
    </row>
    <row r="366" spans="1:9" x14ac:dyDescent="0.25">
      <c r="A366" s="2" t="s">
        <v>26</v>
      </c>
      <c r="B366" s="2" t="s">
        <v>28</v>
      </c>
      <c r="C366" s="3">
        <v>43835</v>
      </c>
      <c r="D366" s="2">
        <v>5457</v>
      </c>
      <c r="E366" s="2">
        <v>835</v>
      </c>
      <c r="F366" s="2">
        <v>9.01</v>
      </c>
      <c r="G366" s="2" t="s">
        <v>18</v>
      </c>
      <c r="H366" s="2">
        <v>654</v>
      </c>
      <c r="I366" s="2">
        <v>1.75</v>
      </c>
    </row>
    <row r="367" spans="1:9" x14ac:dyDescent="0.25">
      <c r="A367" s="2" t="s">
        <v>26</v>
      </c>
      <c r="B367" s="2" t="s">
        <v>28</v>
      </c>
      <c r="C367" s="3">
        <v>43836</v>
      </c>
      <c r="D367" s="2">
        <v>4076</v>
      </c>
      <c r="E367" s="2">
        <v>553</v>
      </c>
      <c r="F367" s="2">
        <v>2.36</v>
      </c>
      <c r="G367" s="2" t="s">
        <v>21</v>
      </c>
      <c r="H367" s="2">
        <v>519</v>
      </c>
      <c r="I367" s="2">
        <v>2.61</v>
      </c>
    </row>
    <row r="368" spans="1:9" x14ac:dyDescent="0.25">
      <c r="A368" s="2" t="s">
        <v>26</v>
      </c>
      <c r="B368" s="2" t="s">
        <v>28</v>
      </c>
      <c r="C368" s="3">
        <v>43837</v>
      </c>
      <c r="D368" s="2">
        <v>7623</v>
      </c>
      <c r="E368" s="2">
        <v>938</v>
      </c>
      <c r="F368" s="2">
        <v>7.12</v>
      </c>
      <c r="G368" s="2" t="s">
        <v>21</v>
      </c>
      <c r="H368" s="2">
        <v>419</v>
      </c>
      <c r="I368" s="2">
        <v>4.8</v>
      </c>
    </row>
    <row r="369" spans="1:9" x14ac:dyDescent="0.25">
      <c r="A369" s="2" t="s">
        <v>26</v>
      </c>
      <c r="B369" s="2" t="s">
        <v>28</v>
      </c>
      <c r="C369" s="3">
        <v>43838</v>
      </c>
      <c r="D369" s="2">
        <v>3423</v>
      </c>
      <c r="E369" s="2">
        <v>334</v>
      </c>
      <c r="F369" s="2">
        <v>2.99</v>
      </c>
      <c r="G369" s="2" t="s">
        <v>20</v>
      </c>
      <c r="H369" s="2">
        <v>303</v>
      </c>
      <c r="I369" s="2">
        <v>4.1100000000000003</v>
      </c>
    </row>
    <row r="370" spans="1:9" x14ac:dyDescent="0.25">
      <c r="A370" s="2" t="s">
        <v>26</v>
      </c>
      <c r="B370" s="2" t="s">
        <v>28</v>
      </c>
      <c r="C370" s="3">
        <v>43839</v>
      </c>
      <c r="D370" s="2">
        <v>9346</v>
      </c>
      <c r="E370" s="2">
        <v>650</v>
      </c>
      <c r="F370" s="2">
        <v>1.52</v>
      </c>
      <c r="G370" s="2" t="s">
        <v>20</v>
      </c>
      <c r="H370" s="2">
        <v>291</v>
      </c>
      <c r="I370" s="2">
        <v>9.84</v>
      </c>
    </row>
    <row r="371" spans="1:9" x14ac:dyDescent="0.25">
      <c r="A371" s="2" t="s">
        <v>26</v>
      </c>
      <c r="B371" s="2" t="s">
        <v>28</v>
      </c>
      <c r="C371" s="3">
        <v>43840</v>
      </c>
      <c r="D371" s="2">
        <v>3627</v>
      </c>
      <c r="E371" s="2">
        <v>1002</v>
      </c>
      <c r="F371" s="2">
        <v>8.3000000000000007</v>
      </c>
      <c r="G371" s="2" t="s">
        <v>20</v>
      </c>
      <c r="H371" s="2">
        <v>957</v>
      </c>
      <c r="I371" s="2">
        <v>4.3899999999999997</v>
      </c>
    </row>
    <row r="372" spans="1:9" x14ac:dyDescent="0.25">
      <c r="A372" s="2" t="s">
        <v>26</v>
      </c>
      <c r="B372" s="2" t="s">
        <v>28</v>
      </c>
      <c r="C372" s="3">
        <v>43841</v>
      </c>
      <c r="D372" s="2">
        <v>5423</v>
      </c>
      <c r="E372" s="2">
        <v>522</v>
      </c>
      <c r="F372" s="2">
        <v>4.16</v>
      </c>
      <c r="G372" s="2" t="s">
        <v>20</v>
      </c>
      <c r="H372" s="2">
        <v>822</v>
      </c>
      <c r="I372" s="2">
        <v>8.0299999999999994</v>
      </c>
    </row>
    <row r="373" spans="1:9" x14ac:dyDescent="0.25">
      <c r="A373" s="2" t="s">
        <v>26</v>
      </c>
      <c r="B373" s="2" t="s">
        <v>28</v>
      </c>
      <c r="C373" s="3">
        <v>43842</v>
      </c>
      <c r="D373" s="2">
        <v>6509</v>
      </c>
      <c r="E373" s="2">
        <v>897</v>
      </c>
      <c r="F373" s="2">
        <v>3.44</v>
      </c>
      <c r="G373" s="2" t="s">
        <v>18</v>
      </c>
      <c r="H373" s="2">
        <v>864</v>
      </c>
      <c r="I373" s="2">
        <v>8.77</v>
      </c>
    </row>
    <row r="374" spans="1:9" x14ac:dyDescent="0.25">
      <c r="A374" s="2" t="s">
        <v>26</v>
      </c>
      <c r="B374" s="2" t="s">
        <v>28</v>
      </c>
      <c r="C374" s="3">
        <v>44197</v>
      </c>
      <c r="D374" s="2">
        <v>5610</v>
      </c>
      <c r="E374" s="2">
        <v>1130</v>
      </c>
      <c r="F374" s="2">
        <v>5.63</v>
      </c>
      <c r="G374" s="2" t="s">
        <v>17</v>
      </c>
      <c r="H374" s="2">
        <v>763</v>
      </c>
      <c r="I374" s="2">
        <v>2.85</v>
      </c>
    </row>
    <row r="375" spans="1:9" x14ac:dyDescent="0.25">
      <c r="A375" s="2" t="s">
        <v>26</v>
      </c>
      <c r="B375" s="2" t="s">
        <v>28</v>
      </c>
      <c r="C375" s="3">
        <v>44198</v>
      </c>
      <c r="D375" s="2">
        <v>8881</v>
      </c>
      <c r="E375" s="2">
        <v>1054</v>
      </c>
      <c r="F375" s="2">
        <v>4.2300000000000004</v>
      </c>
      <c r="G375" s="2" t="s">
        <v>21</v>
      </c>
      <c r="H375" s="2">
        <v>551</v>
      </c>
      <c r="I375" s="2">
        <v>1.41</v>
      </c>
    </row>
    <row r="376" spans="1:9" x14ac:dyDescent="0.25">
      <c r="A376" s="2" t="s">
        <v>26</v>
      </c>
      <c r="B376" s="2" t="s">
        <v>28</v>
      </c>
      <c r="C376" s="3">
        <v>44199</v>
      </c>
      <c r="D376" s="2">
        <v>7510</v>
      </c>
      <c r="E376" s="2">
        <v>372</v>
      </c>
      <c r="F376" s="2">
        <v>7.93</v>
      </c>
      <c r="G376" s="2" t="s">
        <v>21</v>
      </c>
      <c r="H376" s="2">
        <v>370</v>
      </c>
      <c r="I376" s="2">
        <v>0.28000000000000003</v>
      </c>
    </row>
    <row r="377" spans="1:9" x14ac:dyDescent="0.25">
      <c r="A377" s="2" t="s">
        <v>26</v>
      </c>
      <c r="B377" s="2" t="s">
        <v>28</v>
      </c>
      <c r="C377" s="3">
        <v>44200</v>
      </c>
      <c r="D377" s="2">
        <v>7429</v>
      </c>
      <c r="E377" s="2">
        <v>973</v>
      </c>
      <c r="F377" s="2">
        <v>7.47</v>
      </c>
      <c r="G377" s="2" t="s">
        <v>17</v>
      </c>
      <c r="H377" s="2">
        <v>854</v>
      </c>
      <c r="I377" s="2">
        <v>4.54</v>
      </c>
    </row>
    <row r="378" spans="1:9" x14ac:dyDescent="0.25">
      <c r="A378" s="2" t="s">
        <v>26</v>
      </c>
      <c r="B378" s="2" t="s">
        <v>28</v>
      </c>
      <c r="C378" s="3">
        <v>44201</v>
      </c>
      <c r="D378" s="2">
        <v>8960</v>
      </c>
      <c r="E378" s="2">
        <v>417</v>
      </c>
      <c r="F378" s="2">
        <v>2.69</v>
      </c>
      <c r="G378" s="2" t="s">
        <v>20</v>
      </c>
      <c r="H378" s="2">
        <v>654</v>
      </c>
      <c r="I378" s="2">
        <v>4.58</v>
      </c>
    </row>
    <row r="379" spans="1:9" x14ac:dyDescent="0.25">
      <c r="A379" s="2" t="s">
        <v>26</v>
      </c>
      <c r="B379" s="2" t="s">
        <v>28</v>
      </c>
      <c r="C379" s="3">
        <v>44202</v>
      </c>
      <c r="D379" s="2">
        <v>3103</v>
      </c>
      <c r="E379" s="2">
        <v>1110</v>
      </c>
      <c r="F379" s="2">
        <v>1.87</v>
      </c>
      <c r="G379" s="2" t="s">
        <v>21</v>
      </c>
      <c r="H379" s="2">
        <v>757</v>
      </c>
      <c r="I379" s="2">
        <v>8.1</v>
      </c>
    </row>
    <row r="380" spans="1:9" x14ac:dyDescent="0.25">
      <c r="A380" s="2" t="s">
        <v>26</v>
      </c>
      <c r="B380" s="2" t="s">
        <v>28</v>
      </c>
      <c r="C380" s="3">
        <v>44203</v>
      </c>
      <c r="D380" s="2">
        <v>3932</v>
      </c>
      <c r="E380" s="2">
        <v>600</v>
      </c>
      <c r="F380" s="2">
        <v>6.12</v>
      </c>
      <c r="G380" s="2" t="s">
        <v>17</v>
      </c>
      <c r="H380" s="2">
        <v>308</v>
      </c>
      <c r="I380" s="2">
        <v>6.39</v>
      </c>
    </row>
    <row r="381" spans="1:9" x14ac:dyDescent="0.25">
      <c r="A381" s="2" t="s">
        <v>26</v>
      </c>
      <c r="B381" s="2" t="s">
        <v>28</v>
      </c>
      <c r="C381" s="3">
        <v>44204</v>
      </c>
      <c r="D381" s="2">
        <v>8820</v>
      </c>
      <c r="E381" s="2">
        <v>828</v>
      </c>
      <c r="F381" s="2">
        <v>6.17</v>
      </c>
      <c r="G381" s="2" t="s">
        <v>17</v>
      </c>
      <c r="H381" s="2">
        <v>665</v>
      </c>
      <c r="I381" s="2">
        <v>3.38</v>
      </c>
    </row>
    <row r="382" spans="1:9" x14ac:dyDescent="0.25">
      <c r="A382" s="2" t="s">
        <v>26</v>
      </c>
      <c r="B382" s="2" t="s">
        <v>28</v>
      </c>
      <c r="C382" s="3">
        <v>44205</v>
      </c>
      <c r="D382" s="2">
        <v>8303</v>
      </c>
      <c r="E382" s="2">
        <v>345</v>
      </c>
      <c r="F382" s="2">
        <v>6.55</v>
      </c>
      <c r="G382" s="2" t="s">
        <v>18</v>
      </c>
      <c r="H382" s="2">
        <v>250</v>
      </c>
      <c r="I382" s="2">
        <v>8.07</v>
      </c>
    </row>
    <row r="383" spans="1:9" x14ac:dyDescent="0.25">
      <c r="A383" s="2" t="s">
        <v>26</v>
      </c>
      <c r="B383" s="2" t="s">
        <v>28</v>
      </c>
      <c r="C383" s="3">
        <v>44206</v>
      </c>
      <c r="D383" s="2">
        <v>7249</v>
      </c>
      <c r="E383" s="2">
        <v>269</v>
      </c>
      <c r="F383" s="2">
        <v>7.87</v>
      </c>
      <c r="G383" s="2" t="s">
        <v>17</v>
      </c>
      <c r="H383" s="2">
        <v>248</v>
      </c>
      <c r="I383" s="2">
        <v>7.88</v>
      </c>
    </row>
    <row r="384" spans="1:9" x14ac:dyDescent="0.25">
      <c r="A384" s="2" t="s">
        <v>26</v>
      </c>
      <c r="B384" s="2" t="s">
        <v>28</v>
      </c>
      <c r="C384" s="3">
        <v>44207</v>
      </c>
      <c r="D384" s="2">
        <v>4838</v>
      </c>
      <c r="E384" s="2">
        <v>286</v>
      </c>
      <c r="F384" s="2">
        <v>1.77</v>
      </c>
      <c r="G384" s="2" t="s">
        <v>20</v>
      </c>
      <c r="H384" s="2">
        <v>523</v>
      </c>
      <c r="I384" s="2">
        <v>3.79</v>
      </c>
    </row>
    <row r="385" spans="1:9" x14ac:dyDescent="0.25">
      <c r="A385" s="2" t="s">
        <v>26</v>
      </c>
      <c r="B385" s="2" t="s">
        <v>28</v>
      </c>
      <c r="C385" s="3">
        <v>44208</v>
      </c>
      <c r="D385" s="2">
        <v>4382</v>
      </c>
      <c r="E385" s="2">
        <v>563</v>
      </c>
      <c r="F385" s="2">
        <v>3.22</v>
      </c>
      <c r="G385" s="2" t="s">
        <v>18</v>
      </c>
      <c r="H385" s="2">
        <v>617</v>
      </c>
      <c r="I385" s="2">
        <v>4.8099999999999996</v>
      </c>
    </row>
    <row r="386" spans="1:9" x14ac:dyDescent="0.25">
      <c r="A386" s="2" t="s">
        <v>26</v>
      </c>
      <c r="B386" s="2" t="s">
        <v>28</v>
      </c>
      <c r="C386" s="3">
        <v>44562</v>
      </c>
      <c r="D386" s="2">
        <v>7857</v>
      </c>
      <c r="E386" s="2">
        <v>1106</v>
      </c>
      <c r="F386" s="2">
        <v>4.76</v>
      </c>
      <c r="G386" s="2" t="s">
        <v>21</v>
      </c>
      <c r="H386" s="2">
        <v>667</v>
      </c>
      <c r="I386" s="2">
        <v>7.26</v>
      </c>
    </row>
    <row r="387" spans="1:9" x14ac:dyDescent="0.25">
      <c r="A387" s="2" t="s">
        <v>26</v>
      </c>
      <c r="B387" s="2" t="s">
        <v>28</v>
      </c>
      <c r="C387" s="3">
        <v>44563</v>
      </c>
      <c r="D387" s="2">
        <v>5960</v>
      </c>
      <c r="E387" s="2">
        <v>261</v>
      </c>
      <c r="F387" s="2">
        <v>6.15</v>
      </c>
      <c r="G387" s="2" t="s">
        <v>21</v>
      </c>
      <c r="H387" s="2">
        <v>909</v>
      </c>
      <c r="I387" s="2">
        <v>2.64</v>
      </c>
    </row>
    <row r="388" spans="1:9" x14ac:dyDescent="0.25">
      <c r="A388" s="2" t="s">
        <v>26</v>
      </c>
      <c r="B388" s="2" t="s">
        <v>28</v>
      </c>
      <c r="C388" s="3">
        <v>44564</v>
      </c>
      <c r="D388" s="2">
        <v>3818</v>
      </c>
      <c r="E388" s="2">
        <v>988</v>
      </c>
      <c r="F388" s="2">
        <v>3.2</v>
      </c>
      <c r="G388" s="2" t="s">
        <v>18</v>
      </c>
      <c r="H388" s="2">
        <v>833</v>
      </c>
      <c r="I388" s="2">
        <v>1.54</v>
      </c>
    </row>
    <row r="389" spans="1:9" x14ac:dyDescent="0.25">
      <c r="A389" s="2" t="s">
        <v>26</v>
      </c>
      <c r="B389" s="2" t="s">
        <v>28</v>
      </c>
      <c r="C389" s="3">
        <v>44565</v>
      </c>
      <c r="D389" s="2">
        <v>9608</v>
      </c>
      <c r="E389" s="2">
        <v>879</v>
      </c>
      <c r="F389" s="2">
        <v>9.1199999999999992</v>
      </c>
      <c r="G389" s="2" t="s">
        <v>18</v>
      </c>
      <c r="H389" s="2">
        <v>331</v>
      </c>
      <c r="I389" s="2">
        <v>7.41</v>
      </c>
    </row>
    <row r="390" spans="1:9" x14ac:dyDescent="0.25">
      <c r="A390" s="2" t="s">
        <v>26</v>
      </c>
      <c r="B390" s="2" t="s">
        <v>28</v>
      </c>
      <c r="C390" s="3">
        <v>44566</v>
      </c>
      <c r="D390" s="2">
        <v>8488</v>
      </c>
      <c r="E390" s="2">
        <v>985</v>
      </c>
      <c r="F390" s="2">
        <v>7.76</v>
      </c>
      <c r="G390" s="2" t="s">
        <v>18</v>
      </c>
      <c r="H390" s="2">
        <v>610</v>
      </c>
      <c r="I390" s="2">
        <v>9.89</v>
      </c>
    </row>
    <row r="391" spans="1:9" x14ac:dyDescent="0.25">
      <c r="A391" s="2" t="s">
        <v>26</v>
      </c>
      <c r="B391" s="2" t="s">
        <v>28</v>
      </c>
      <c r="C391" s="3">
        <v>44567</v>
      </c>
      <c r="D391" s="2">
        <v>3186</v>
      </c>
      <c r="E391" s="2">
        <v>934</v>
      </c>
      <c r="F391" s="2">
        <v>2.0299999999999998</v>
      </c>
      <c r="G391" s="2" t="s">
        <v>20</v>
      </c>
      <c r="H391" s="2">
        <v>545</v>
      </c>
      <c r="I391" s="2">
        <v>4.93</v>
      </c>
    </row>
    <row r="392" spans="1:9" x14ac:dyDescent="0.25">
      <c r="A392" s="2" t="s">
        <v>26</v>
      </c>
      <c r="B392" s="2" t="s">
        <v>28</v>
      </c>
      <c r="C392" s="3">
        <v>44568</v>
      </c>
      <c r="D392" s="2">
        <v>9032</v>
      </c>
      <c r="E392" s="2">
        <v>751</v>
      </c>
      <c r="F392" s="2">
        <v>5.89</v>
      </c>
      <c r="G392" s="2" t="s">
        <v>17</v>
      </c>
      <c r="H392" s="2">
        <v>91</v>
      </c>
      <c r="I392" s="2">
        <v>5.04</v>
      </c>
    </row>
    <row r="393" spans="1:9" x14ac:dyDescent="0.25">
      <c r="A393" s="2" t="s">
        <v>26</v>
      </c>
      <c r="B393" s="2" t="s">
        <v>28</v>
      </c>
      <c r="C393" s="3">
        <v>44569</v>
      </c>
      <c r="D393" s="2">
        <v>3974</v>
      </c>
      <c r="E393" s="2">
        <v>496</v>
      </c>
      <c r="F393" s="2">
        <v>2.09</v>
      </c>
      <c r="G393" s="2" t="s">
        <v>17</v>
      </c>
      <c r="H393" s="2">
        <v>227</v>
      </c>
      <c r="I393" s="2">
        <v>0.16</v>
      </c>
    </row>
    <row r="394" spans="1:9" x14ac:dyDescent="0.25">
      <c r="A394" s="2" t="s">
        <v>26</v>
      </c>
      <c r="B394" s="2" t="s">
        <v>28</v>
      </c>
      <c r="C394" s="3">
        <v>44570</v>
      </c>
      <c r="D394" s="2">
        <v>9673</v>
      </c>
      <c r="E394" s="2">
        <v>1032</v>
      </c>
      <c r="F394" s="2">
        <v>9.49</v>
      </c>
      <c r="G394" s="2" t="s">
        <v>21</v>
      </c>
      <c r="H394" s="2">
        <v>125</v>
      </c>
      <c r="I394" s="2">
        <v>2.5299999999999998</v>
      </c>
    </row>
    <row r="395" spans="1:9" x14ac:dyDescent="0.25">
      <c r="A395" s="2" t="s">
        <v>26</v>
      </c>
      <c r="B395" s="2" t="s">
        <v>28</v>
      </c>
      <c r="C395" s="3">
        <v>44571</v>
      </c>
      <c r="D395" s="2">
        <v>4615</v>
      </c>
      <c r="E395" s="2">
        <v>489</v>
      </c>
      <c r="F395" s="2">
        <v>9.25</v>
      </c>
      <c r="G395" s="2" t="s">
        <v>21</v>
      </c>
      <c r="H395" s="2">
        <v>996</v>
      </c>
      <c r="I395" s="2">
        <v>0.55000000000000004</v>
      </c>
    </row>
    <row r="396" spans="1:9" x14ac:dyDescent="0.25">
      <c r="A396" s="2" t="s">
        <v>26</v>
      </c>
      <c r="B396" s="2" t="s">
        <v>28</v>
      </c>
      <c r="C396" s="3">
        <v>44572</v>
      </c>
      <c r="D396" s="2">
        <v>3694</v>
      </c>
      <c r="E396" s="2">
        <v>475</v>
      </c>
      <c r="F396" s="2">
        <v>1.51</v>
      </c>
      <c r="G396" s="2" t="s">
        <v>20</v>
      </c>
      <c r="H396" s="2">
        <v>657</v>
      </c>
      <c r="I396" s="2">
        <v>5.18</v>
      </c>
    </row>
    <row r="397" spans="1:9" x14ac:dyDescent="0.25">
      <c r="A397" s="2" t="s">
        <v>26</v>
      </c>
      <c r="B397" s="2" t="s">
        <v>28</v>
      </c>
      <c r="C397" s="3">
        <v>44573</v>
      </c>
      <c r="D397" s="2">
        <v>7286</v>
      </c>
      <c r="E397" s="2">
        <v>1089</v>
      </c>
      <c r="F397" s="2">
        <v>3.17</v>
      </c>
      <c r="G397" s="2" t="s">
        <v>21</v>
      </c>
      <c r="H397" s="2">
        <v>444</v>
      </c>
      <c r="I397" s="2">
        <v>4.0999999999999996</v>
      </c>
    </row>
    <row r="398" spans="1:9" x14ac:dyDescent="0.25">
      <c r="A398" s="2" t="s">
        <v>26</v>
      </c>
      <c r="B398" s="2" t="s">
        <v>28</v>
      </c>
      <c r="C398" s="3">
        <v>44927</v>
      </c>
      <c r="D398" s="2">
        <v>7014</v>
      </c>
      <c r="E398" s="2">
        <v>361</v>
      </c>
      <c r="F398" s="2">
        <v>5.63</v>
      </c>
      <c r="G398" s="2" t="s">
        <v>21</v>
      </c>
      <c r="H398" s="2">
        <v>782</v>
      </c>
      <c r="I398" s="2">
        <v>7.45</v>
      </c>
    </row>
    <row r="399" spans="1:9" x14ac:dyDescent="0.25">
      <c r="A399" s="2" t="s">
        <v>26</v>
      </c>
      <c r="B399" s="2" t="s">
        <v>28</v>
      </c>
      <c r="C399" s="3">
        <v>44928</v>
      </c>
      <c r="D399" s="2">
        <v>4056</v>
      </c>
      <c r="E399" s="2">
        <v>939</v>
      </c>
      <c r="F399" s="2">
        <v>1.86</v>
      </c>
      <c r="G399" s="2" t="s">
        <v>18</v>
      </c>
      <c r="H399" s="2">
        <v>588</v>
      </c>
      <c r="I399" s="2">
        <v>1.08</v>
      </c>
    </row>
    <row r="400" spans="1:9" x14ac:dyDescent="0.25">
      <c r="A400" s="2" t="s">
        <v>26</v>
      </c>
      <c r="B400" s="2" t="s">
        <v>28</v>
      </c>
      <c r="C400" s="3">
        <v>44929</v>
      </c>
      <c r="D400" s="2">
        <v>5713</v>
      </c>
      <c r="E400" s="2">
        <v>409</v>
      </c>
      <c r="F400" s="2">
        <v>2.2200000000000002</v>
      </c>
      <c r="G400" s="2" t="s">
        <v>20</v>
      </c>
      <c r="H400" s="2">
        <v>948</v>
      </c>
      <c r="I400" s="2">
        <v>2.15</v>
      </c>
    </row>
    <row r="401" spans="1:9" x14ac:dyDescent="0.25">
      <c r="A401" s="2" t="s">
        <v>26</v>
      </c>
      <c r="B401" s="2" t="s">
        <v>28</v>
      </c>
      <c r="C401" s="3">
        <v>44930</v>
      </c>
      <c r="D401" s="2">
        <v>5976</v>
      </c>
      <c r="E401" s="2">
        <v>881</v>
      </c>
      <c r="F401" s="2">
        <v>1.47</v>
      </c>
      <c r="G401" s="2" t="s">
        <v>21</v>
      </c>
      <c r="H401" s="2">
        <v>944</v>
      </c>
      <c r="I401" s="2">
        <v>1.7</v>
      </c>
    </row>
    <row r="402" spans="1:9" x14ac:dyDescent="0.25">
      <c r="A402" s="2" t="s">
        <v>26</v>
      </c>
      <c r="B402" s="2" t="s">
        <v>28</v>
      </c>
      <c r="C402" s="3">
        <v>44931</v>
      </c>
      <c r="D402" s="2">
        <v>6398</v>
      </c>
      <c r="E402" s="2">
        <v>353</v>
      </c>
      <c r="F402" s="2">
        <v>6.67</v>
      </c>
      <c r="G402" s="2" t="s">
        <v>17</v>
      </c>
      <c r="H402" s="2">
        <v>481</v>
      </c>
      <c r="I402" s="2">
        <v>7.47</v>
      </c>
    </row>
    <row r="403" spans="1:9" x14ac:dyDescent="0.25">
      <c r="A403" s="2" t="s">
        <v>26</v>
      </c>
      <c r="B403" s="2" t="s">
        <v>28</v>
      </c>
      <c r="C403" s="3">
        <v>44932</v>
      </c>
      <c r="D403" s="2">
        <v>8471</v>
      </c>
      <c r="E403" s="2">
        <v>1033</v>
      </c>
      <c r="F403" s="2">
        <v>4.8899999999999997</v>
      </c>
      <c r="G403" s="2" t="s">
        <v>18</v>
      </c>
      <c r="H403" s="2">
        <v>962</v>
      </c>
      <c r="I403" s="2">
        <v>5.38</v>
      </c>
    </row>
    <row r="404" spans="1:9" x14ac:dyDescent="0.25">
      <c r="A404" s="2" t="s">
        <v>26</v>
      </c>
      <c r="B404" s="2" t="s">
        <v>28</v>
      </c>
      <c r="C404" s="3">
        <v>44933</v>
      </c>
      <c r="D404" s="2">
        <v>9192</v>
      </c>
      <c r="E404" s="2">
        <v>754</v>
      </c>
      <c r="F404" s="2">
        <v>5.17</v>
      </c>
      <c r="G404" s="2" t="s">
        <v>20</v>
      </c>
      <c r="H404" s="2">
        <v>382</v>
      </c>
      <c r="I404" s="2">
        <v>6.69</v>
      </c>
    </row>
    <row r="405" spans="1:9" x14ac:dyDescent="0.25">
      <c r="A405" s="2" t="s">
        <v>26</v>
      </c>
      <c r="B405" s="2" t="s">
        <v>28</v>
      </c>
      <c r="C405" s="3">
        <v>44934</v>
      </c>
      <c r="D405" s="2">
        <v>7940</v>
      </c>
      <c r="E405" s="2">
        <v>969</v>
      </c>
      <c r="F405" s="2">
        <v>4.3899999999999997</v>
      </c>
      <c r="G405" s="2" t="s">
        <v>21</v>
      </c>
      <c r="H405" s="2">
        <v>902</v>
      </c>
      <c r="I405" s="2">
        <v>9.6300000000000008</v>
      </c>
    </row>
    <row r="406" spans="1:9" x14ac:dyDescent="0.25">
      <c r="A406" s="2" t="s">
        <v>26</v>
      </c>
      <c r="B406" s="2" t="s">
        <v>28</v>
      </c>
      <c r="C406" s="3">
        <v>44935</v>
      </c>
      <c r="D406" s="2">
        <v>3432</v>
      </c>
      <c r="E406" s="2">
        <v>359</v>
      </c>
      <c r="F406" s="2">
        <v>7.21</v>
      </c>
      <c r="G406" s="2" t="s">
        <v>18</v>
      </c>
      <c r="H406" s="2">
        <v>409</v>
      </c>
      <c r="I406" s="2">
        <v>9.61</v>
      </c>
    </row>
    <row r="407" spans="1:9" x14ac:dyDescent="0.25">
      <c r="A407" s="2" t="s">
        <v>26</v>
      </c>
      <c r="B407" s="2" t="s">
        <v>28</v>
      </c>
      <c r="C407" s="3">
        <v>44936</v>
      </c>
      <c r="D407" s="2">
        <v>5136</v>
      </c>
      <c r="E407" s="2">
        <v>1122</v>
      </c>
      <c r="F407" s="2">
        <v>4.68</v>
      </c>
      <c r="G407" s="2" t="s">
        <v>21</v>
      </c>
      <c r="H407" s="2">
        <v>234</v>
      </c>
      <c r="I407" s="2">
        <v>5.33</v>
      </c>
    </row>
    <row r="408" spans="1:9" x14ac:dyDescent="0.25">
      <c r="A408" s="2" t="s">
        <v>26</v>
      </c>
      <c r="B408" s="2" t="s">
        <v>28</v>
      </c>
      <c r="C408" s="3">
        <v>44937</v>
      </c>
      <c r="D408" s="2">
        <v>4200</v>
      </c>
      <c r="E408" s="2">
        <v>815</v>
      </c>
      <c r="F408" s="2">
        <v>1.08</v>
      </c>
      <c r="G408" s="2" t="s">
        <v>17</v>
      </c>
      <c r="H408" s="2">
        <v>277</v>
      </c>
      <c r="I408" s="2">
        <v>3.71</v>
      </c>
    </row>
    <row r="409" spans="1:9" x14ac:dyDescent="0.25">
      <c r="A409" s="2" t="s">
        <v>26</v>
      </c>
      <c r="B409" s="2" t="s">
        <v>28</v>
      </c>
      <c r="C409" s="3">
        <v>44938</v>
      </c>
      <c r="D409" s="2">
        <v>6387</v>
      </c>
      <c r="E409" s="2">
        <v>965</v>
      </c>
      <c r="F409" s="2">
        <v>4.76</v>
      </c>
      <c r="G409" s="2" t="s">
        <v>21</v>
      </c>
      <c r="H409" s="2">
        <v>989</v>
      </c>
      <c r="I409" s="2">
        <v>3.18</v>
      </c>
    </row>
    <row r="410" spans="1:9" x14ac:dyDescent="0.25">
      <c r="A410" s="2" t="s">
        <v>26</v>
      </c>
      <c r="B410" s="2" t="s">
        <v>28</v>
      </c>
      <c r="C410" s="3">
        <v>45292</v>
      </c>
      <c r="D410" s="2">
        <v>4322</v>
      </c>
      <c r="E410" s="2">
        <v>289</v>
      </c>
      <c r="F410" s="2">
        <v>9.52</v>
      </c>
      <c r="G410" s="2" t="s">
        <v>18</v>
      </c>
      <c r="H410" s="2">
        <v>950</v>
      </c>
      <c r="I410" s="2">
        <v>2.56</v>
      </c>
    </row>
    <row r="411" spans="1:9" x14ac:dyDescent="0.25">
      <c r="A411" s="2" t="s">
        <v>26</v>
      </c>
      <c r="B411" s="2" t="s">
        <v>28</v>
      </c>
      <c r="C411" s="3">
        <v>45293</v>
      </c>
      <c r="D411" s="2">
        <v>7831</v>
      </c>
      <c r="E411" s="2">
        <v>898</v>
      </c>
      <c r="F411" s="2">
        <v>1.33</v>
      </c>
      <c r="G411" s="2" t="s">
        <v>17</v>
      </c>
      <c r="H411" s="2">
        <v>451</v>
      </c>
      <c r="I411" s="2">
        <v>3.1</v>
      </c>
    </row>
    <row r="412" spans="1:9" x14ac:dyDescent="0.25">
      <c r="A412" s="2" t="s">
        <v>26</v>
      </c>
      <c r="B412" s="2" t="s">
        <v>28</v>
      </c>
      <c r="C412" s="3">
        <v>45294</v>
      </c>
      <c r="D412" s="2">
        <v>6058</v>
      </c>
      <c r="E412" s="2">
        <v>698</v>
      </c>
      <c r="F412" s="2">
        <v>1.59</v>
      </c>
      <c r="G412" s="2" t="s">
        <v>20</v>
      </c>
      <c r="H412" s="2">
        <v>722</v>
      </c>
      <c r="I412" s="2">
        <v>3.48</v>
      </c>
    </row>
    <row r="413" spans="1:9" x14ac:dyDescent="0.25">
      <c r="A413" s="2" t="s">
        <v>26</v>
      </c>
      <c r="B413" s="2" t="s">
        <v>28</v>
      </c>
      <c r="C413" s="3">
        <v>45295</v>
      </c>
      <c r="D413" s="2">
        <v>9327</v>
      </c>
      <c r="E413" s="2">
        <v>878</v>
      </c>
      <c r="F413" s="2">
        <v>8.92</v>
      </c>
      <c r="G413" s="2" t="s">
        <v>21</v>
      </c>
      <c r="H413" s="2">
        <v>663</v>
      </c>
      <c r="I413" s="2">
        <v>7.81</v>
      </c>
    </row>
    <row r="414" spans="1:9" x14ac:dyDescent="0.25">
      <c r="A414" s="2" t="s">
        <v>26</v>
      </c>
      <c r="B414" s="2" t="s">
        <v>28</v>
      </c>
      <c r="C414" s="3">
        <v>45296</v>
      </c>
      <c r="D414" s="2">
        <v>9823</v>
      </c>
      <c r="E414" s="2">
        <v>659</v>
      </c>
      <c r="F414" s="2">
        <v>1.51</v>
      </c>
      <c r="G414" s="2" t="s">
        <v>18</v>
      </c>
      <c r="H414" s="2">
        <v>254</v>
      </c>
      <c r="I414" s="2">
        <v>0.68</v>
      </c>
    </row>
    <row r="415" spans="1:9" x14ac:dyDescent="0.25">
      <c r="A415" s="2" t="s">
        <v>26</v>
      </c>
      <c r="B415" s="2" t="s">
        <v>28</v>
      </c>
      <c r="C415" s="3">
        <v>45297</v>
      </c>
      <c r="D415" s="2">
        <v>8931</v>
      </c>
      <c r="E415" s="2">
        <v>753</v>
      </c>
      <c r="F415" s="2">
        <v>5.69</v>
      </c>
      <c r="G415" s="2" t="s">
        <v>18</v>
      </c>
      <c r="H415" s="2">
        <v>565</v>
      </c>
      <c r="I415" s="2">
        <v>6.05</v>
      </c>
    </row>
    <row r="416" spans="1:9" x14ac:dyDescent="0.25">
      <c r="A416" s="2" t="s">
        <v>26</v>
      </c>
      <c r="B416" s="2" t="s">
        <v>28</v>
      </c>
      <c r="C416" s="3">
        <v>45298</v>
      </c>
      <c r="D416" s="2">
        <v>4866</v>
      </c>
      <c r="E416" s="2">
        <v>838</v>
      </c>
      <c r="F416" s="2">
        <v>9.56</v>
      </c>
      <c r="G416" s="2" t="s">
        <v>17</v>
      </c>
      <c r="H416" s="2">
        <v>134</v>
      </c>
      <c r="I416" s="2">
        <v>0.11</v>
      </c>
    </row>
    <row r="417" spans="1:9" x14ac:dyDescent="0.25">
      <c r="A417" s="2" t="s">
        <v>26</v>
      </c>
      <c r="B417" s="2" t="s">
        <v>28</v>
      </c>
      <c r="C417" s="3">
        <v>45299</v>
      </c>
      <c r="D417" s="2">
        <v>7683</v>
      </c>
      <c r="E417" s="2">
        <v>557</v>
      </c>
      <c r="F417" s="2">
        <v>7.53</v>
      </c>
      <c r="G417" s="2" t="s">
        <v>21</v>
      </c>
      <c r="H417" s="2">
        <v>503</v>
      </c>
      <c r="I417" s="2">
        <v>1.59</v>
      </c>
    </row>
    <row r="418" spans="1:9" x14ac:dyDescent="0.25">
      <c r="A418" s="2" t="s">
        <v>26</v>
      </c>
      <c r="B418" s="2" t="s">
        <v>28</v>
      </c>
      <c r="C418" s="3">
        <v>45300</v>
      </c>
      <c r="D418" s="2">
        <v>3742</v>
      </c>
      <c r="E418" s="2">
        <v>1088</v>
      </c>
      <c r="F418" s="2">
        <v>1.54</v>
      </c>
      <c r="G418" s="2" t="s">
        <v>20</v>
      </c>
      <c r="H418" s="2">
        <v>60</v>
      </c>
      <c r="I418" s="2">
        <v>9.5399999999999991</v>
      </c>
    </row>
    <row r="419" spans="1:9" x14ac:dyDescent="0.25">
      <c r="A419" s="2" t="s">
        <v>26</v>
      </c>
      <c r="B419" s="2" t="s">
        <v>28</v>
      </c>
      <c r="C419" s="3">
        <v>45301</v>
      </c>
      <c r="D419" s="2">
        <v>8481</v>
      </c>
      <c r="E419" s="2">
        <v>614</v>
      </c>
      <c r="F419" s="2">
        <v>2.15</v>
      </c>
      <c r="G419" s="2" t="s">
        <v>21</v>
      </c>
      <c r="H419" s="2">
        <v>879</v>
      </c>
      <c r="I419" s="2">
        <v>9.48</v>
      </c>
    </row>
    <row r="420" spans="1:9" x14ac:dyDescent="0.25">
      <c r="A420" s="2" t="s">
        <v>26</v>
      </c>
      <c r="B420" s="2" t="s">
        <v>28</v>
      </c>
      <c r="C420" s="3">
        <v>45302</v>
      </c>
      <c r="D420" s="2">
        <v>9382</v>
      </c>
      <c r="E420" s="2">
        <v>968</v>
      </c>
      <c r="F420" s="2">
        <v>8.3800000000000008</v>
      </c>
      <c r="G420" s="2" t="s">
        <v>20</v>
      </c>
      <c r="H420" s="2">
        <v>597</v>
      </c>
      <c r="I420" s="2">
        <v>3.9</v>
      </c>
    </row>
    <row r="421" spans="1:9" x14ac:dyDescent="0.25">
      <c r="A421" s="2" t="s">
        <v>26</v>
      </c>
      <c r="B421" s="2" t="s">
        <v>28</v>
      </c>
      <c r="C421" s="3">
        <v>45303</v>
      </c>
      <c r="D421" s="2">
        <v>8971</v>
      </c>
      <c r="E421" s="2">
        <v>578</v>
      </c>
      <c r="F421" s="2">
        <v>9.66</v>
      </c>
      <c r="G421" s="2" t="s">
        <v>17</v>
      </c>
      <c r="H421" s="2">
        <v>481</v>
      </c>
      <c r="I421" s="2">
        <v>6.02</v>
      </c>
    </row>
    <row r="422" spans="1:9" x14ac:dyDescent="0.25">
      <c r="A422" s="2" t="s">
        <v>26</v>
      </c>
      <c r="B422" s="2" t="s">
        <v>28</v>
      </c>
      <c r="C422" s="3">
        <v>45658</v>
      </c>
      <c r="D422" s="2">
        <v>6243</v>
      </c>
      <c r="E422" s="2">
        <v>918</v>
      </c>
      <c r="F422" s="2">
        <v>2.0299999999999998</v>
      </c>
      <c r="G422" s="2" t="s">
        <v>17</v>
      </c>
      <c r="H422" s="2">
        <v>365</v>
      </c>
      <c r="I422" s="2">
        <v>6.23</v>
      </c>
    </row>
    <row r="423" spans="1:9" x14ac:dyDescent="0.25">
      <c r="A423" s="2" t="s">
        <v>26</v>
      </c>
      <c r="B423" s="2" t="s">
        <v>28</v>
      </c>
      <c r="C423" s="3">
        <v>45659</v>
      </c>
      <c r="D423" s="2">
        <v>4135</v>
      </c>
      <c r="E423" s="2">
        <v>433</v>
      </c>
      <c r="F423" s="2">
        <v>5.58</v>
      </c>
      <c r="G423" s="2" t="s">
        <v>17</v>
      </c>
      <c r="H423" s="2">
        <v>295</v>
      </c>
      <c r="I423" s="2">
        <v>1.82</v>
      </c>
    </row>
    <row r="424" spans="1:9" x14ac:dyDescent="0.25">
      <c r="A424" s="2" t="s">
        <v>26</v>
      </c>
      <c r="B424" s="2" t="s">
        <v>28</v>
      </c>
      <c r="C424" s="3">
        <v>45660</v>
      </c>
      <c r="D424" s="2">
        <v>4741</v>
      </c>
      <c r="E424" s="2">
        <v>309</v>
      </c>
      <c r="F424" s="2">
        <v>7.14</v>
      </c>
      <c r="G424" s="2" t="s">
        <v>17</v>
      </c>
      <c r="H424" s="2">
        <v>74</v>
      </c>
      <c r="I424" s="2">
        <v>3.52</v>
      </c>
    </row>
    <row r="425" spans="1:9" x14ac:dyDescent="0.25">
      <c r="A425" s="2" t="s">
        <v>26</v>
      </c>
      <c r="B425" s="2" t="s">
        <v>28</v>
      </c>
      <c r="C425" s="3">
        <v>45661</v>
      </c>
      <c r="D425" s="2">
        <v>9075</v>
      </c>
      <c r="E425" s="2">
        <v>303</v>
      </c>
      <c r="F425" s="2">
        <v>9.01</v>
      </c>
      <c r="G425" s="2" t="s">
        <v>21</v>
      </c>
      <c r="H425" s="2">
        <v>301</v>
      </c>
      <c r="I425" s="2">
        <v>1.77</v>
      </c>
    </row>
    <row r="426" spans="1:9" x14ac:dyDescent="0.25">
      <c r="A426" s="2" t="s">
        <v>26</v>
      </c>
      <c r="B426" s="2" t="s">
        <v>28</v>
      </c>
      <c r="C426" s="3">
        <v>45662</v>
      </c>
      <c r="D426" s="2">
        <v>4030</v>
      </c>
      <c r="E426" s="2">
        <v>752</v>
      </c>
      <c r="F426" s="2">
        <v>8.7799999999999994</v>
      </c>
      <c r="G426" s="2" t="s">
        <v>17</v>
      </c>
      <c r="H426" s="2">
        <v>578</v>
      </c>
      <c r="I426" s="2">
        <v>0.6</v>
      </c>
    </row>
    <row r="427" spans="1:9" x14ac:dyDescent="0.25">
      <c r="A427" s="2" t="s">
        <v>26</v>
      </c>
      <c r="B427" s="2" t="s">
        <v>28</v>
      </c>
      <c r="C427" s="3">
        <v>45663</v>
      </c>
      <c r="D427" s="2">
        <v>4998</v>
      </c>
      <c r="E427" s="2">
        <v>829</v>
      </c>
      <c r="F427" s="2">
        <v>4.13</v>
      </c>
      <c r="G427" s="2" t="s">
        <v>21</v>
      </c>
      <c r="H427" s="2">
        <v>721</v>
      </c>
      <c r="I427" s="2">
        <v>3.16</v>
      </c>
    </row>
    <row r="428" spans="1:9" x14ac:dyDescent="0.25">
      <c r="A428" s="2" t="s">
        <v>26</v>
      </c>
      <c r="B428" s="2" t="s">
        <v>28</v>
      </c>
      <c r="C428" s="3">
        <v>45664</v>
      </c>
      <c r="D428" s="2">
        <v>8120</v>
      </c>
      <c r="E428" s="2">
        <v>1182</v>
      </c>
      <c r="F428" s="2">
        <v>9.27</v>
      </c>
      <c r="G428" s="2" t="s">
        <v>21</v>
      </c>
      <c r="H428" s="2">
        <v>445</v>
      </c>
      <c r="I428" s="2">
        <v>2.65</v>
      </c>
    </row>
    <row r="429" spans="1:9" x14ac:dyDescent="0.25">
      <c r="A429" s="2" t="s">
        <v>26</v>
      </c>
      <c r="B429" s="2" t="s">
        <v>28</v>
      </c>
      <c r="C429" s="3">
        <v>45665</v>
      </c>
      <c r="D429" s="2">
        <v>5756</v>
      </c>
      <c r="E429" s="2">
        <v>330</v>
      </c>
      <c r="F429" s="2">
        <v>1.34</v>
      </c>
      <c r="G429" s="2" t="s">
        <v>21</v>
      </c>
      <c r="H429" s="2">
        <v>827</v>
      </c>
      <c r="I429" s="2">
        <v>6.74</v>
      </c>
    </row>
    <row r="430" spans="1:9" x14ac:dyDescent="0.25">
      <c r="A430" s="2" t="s">
        <v>26</v>
      </c>
      <c r="B430" s="2" t="s">
        <v>28</v>
      </c>
      <c r="C430" s="3">
        <v>45666</v>
      </c>
      <c r="D430" s="2">
        <v>5536</v>
      </c>
      <c r="E430" s="2">
        <v>1079</v>
      </c>
      <c r="F430" s="2">
        <v>8.17</v>
      </c>
      <c r="G430" s="2" t="s">
        <v>20</v>
      </c>
      <c r="H430" s="2">
        <v>293</v>
      </c>
      <c r="I430" s="2">
        <v>9.1</v>
      </c>
    </row>
    <row r="431" spans="1:9" x14ac:dyDescent="0.25">
      <c r="A431" s="2" t="s">
        <v>26</v>
      </c>
      <c r="B431" s="2" t="s">
        <v>28</v>
      </c>
      <c r="C431" s="3">
        <v>45667</v>
      </c>
      <c r="D431" s="2">
        <v>7867</v>
      </c>
      <c r="E431" s="2">
        <v>320</v>
      </c>
      <c r="F431" s="2">
        <v>6.09</v>
      </c>
      <c r="G431" s="2" t="s">
        <v>20</v>
      </c>
      <c r="H431" s="2">
        <v>482</v>
      </c>
      <c r="I431" s="2">
        <v>7.12</v>
      </c>
    </row>
    <row r="432" spans="1:9" x14ac:dyDescent="0.25">
      <c r="A432" s="2" t="s">
        <v>26</v>
      </c>
      <c r="B432" s="2" t="s">
        <v>28</v>
      </c>
      <c r="C432" s="3">
        <v>45668</v>
      </c>
      <c r="D432" s="2">
        <v>9929</v>
      </c>
      <c r="E432" s="2">
        <v>496</v>
      </c>
      <c r="F432" s="2">
        <v>4.9400000000000004</v>
      </c>
      <c r="G432" s="2" t="s">
        <v>21</v>
      </c>
      <c r="H432" s="2">
        <v>663</v>
      </c>
      <c r="I432" s="2">
        <v>2.87</v>
      </c>
    </row>
    <row r="433" spans="1:9" x14ac:dyDescent="0.25">
      <c r="A433" s="2" t="s">
        <v>26</v>
      </c>
      <c r="B433" s="2" t="s">
        <v>28</v>
      </c>
      <c r="C433" s="3">
        <v>45669</v>
      </c>
      <c r="D433" s="2">
        <v>9103</v>
      </c>
      <c r="E433" s="2">
        <v>674</v>
      </c>
      <c r="F433" s="2">
        <v>5.82</v>
      </c>
      <c r="G433" s="2" t="s">
        <v>18</v>
      </c>
      <c r="H433" s="2">
        <v>873</v>
      </c>
      <c r="I433" s="2">
        <v>3.2</v>
      </c>
    </row>
    <row r="434" spans="1:9" x14ac:dyDescent="0.25">
      <c r="A434" s="2" t="s">
        <v>29</v>
      </c>
      <c r="B434" s="2" t="s">
        <v>30</v>
      </c>
      <c r="C434" s="3">
        <v>43831</v>
      </c>
      <c r="D434" s="2">
        <v>6901</v>
      </c>
      <c r="E434" s="2">
        <v>695</v>
      </c>
      <c r="F434" s="2">
        <v>6.66</v>
      </c>
      <c r="G434" s="2" t="s">
        <v>21</v>
      </c>
      <c r="H434" s="2">
        <v>852</v>
      </c>
      <c r="I434" s="2">
        <v>7.99</v>
      </c>
    </row>
    <row r="435" spans="1:9" x14ac:dyDescent="0.25">
      <c r="A435" s="2" t="s">
        <v>29</v>
      </c>
      <c r="B435" s="2" t="s">
        <v>30</v>
      </c>
      <c r="C435" s="3">
        <v>43832</v>
      </c>
      <c r="D435" s="2">
        <v>5133</v>
      </c>
      <c r="E435" s="2">
        <v>385</v>
      </c>
      <c r="F435" s="2">
        <v>5.38</v>
      </c>
      <c r="G435" s="2" t="s">
        <v>20</v>
      </c>
      <c r="H435" s="2">
        <v>877</v>
      </c>
      <c r="I435" s="2">
        <v>9.42</v>
      </c>
    </row>
    <row r="436" spans="1:9" x14ac:dyDescent="0.25">
      <c r="A436" s="2" t="s">
        <v>29</v>
      </c>
      <c r="B436" s="2" t="s">
        <v>30</v>
      </c>
      <c r="C436" s="3">
        <v>43833</v>
      </c>
      <c r="D436" s="2">
        <v>5976</v>
      </c>
      <c r="E436" s="2">
        <v>306</v>
      </c>
      <c r="F436" s="2">
        <v>7.36</v>
      </c>
      <c r="G436" s="2" t="s">
        <v>20</v>
      </c>
      <c r="H436" s="2">
        <v>248</v>
      </c>
      <c r="I436" s="2">
        <v>7.16</v>
      </c>
    </row>
    <row r="437" spans="1:9" x14ac:dyDescent="0.25">
      <c r="A437" s="2" t="s">
        <v>29</v>
      </c>
      <c r="B437" s="2" t="s">
        <v>30</v>
      </c>
      <c r="C437" s="3">
        <v>43834</v>
      </c>
      <c r="D437" s="2">
        <v>8357</v>
      </c>
      <c r="E437" s="2">
        <v>957</v>
      </c>
      <c r="F437" s="2">
        <v>3.28</v>
      </c>
      <c r="G437" s="2" t="s">
        <v>21</v>
      </c>
      <c r="H437" s="2">
        <v>946</v>
      </c>
      <c r="I437" s="2">
        <v>0.75</v>
      </c>
    </row>
    <row r="438" spans="1:9" x14ac:dyDescent="0.25">
      <c r="A438" s="2" t="s">
        <v>29</v>
      </c>
      <c r="B438" s="2" t="s">
        <v>30</v>
      </c>
      <c r="C438" s="3">
        <v>43835</v>
      </c>
      <c r="D438" s="2">
        <v>6784</v>
      </c>
      <c r="E438" s="2">
        <v>791</v>
      </c>
      <c r="F438" s="2">
        <v>5.29</v>
      </c>
      <c r="G438" s="2" t="s">
        <v>21</v>
      </c>
      <c r="H438" s="2">
        <v>637</v>
      </c>
      <c r="I438" s="2">
        <v>7.09</v>
      </c>
    </row>
    <row r="439" spans="1:9" x14ac:dyDescent="0.25">
      <c r="A439" s="2" t="s">
        <v>29</v>
      </c>
      <c r="B439" s="2" t="s">
        <v>30</v>
      </c>
      <c r="C439" s="3">
        <v>43836</v>
      </c>
      <c r="D439" s="2">
        <v>3121</v>
      </c>
      <c r="E439" s="2">
        <v>514</v>
      </c>
      <c r="F439" s="2">
        <v>4.33</v>
      </c>
      <c r="G439" s="2" t="s">
        <v>18</v>
      </c>
      <c r="H439" s="2">
        <v>489</v>
      </c>
      <c r="I439" s="2">
        <v>4.38</v>
      </c>
    </row>
    <row r="440" spans="1:9" x14ac:dyDescent="0.25">
      <c r="A440" s="2" t="s">
        <v>29</v>
      </c>
      <c r="B440" s="2" t="s">
        <v>30</v>
      </c>
      <c r="C440" s="3">
        <v>43837</v>
      </c>
      <c r="D440" s="2">
        <v>8126</v>
      </c>
      <c r="E440" s="2">
        <v>469</v>
      </c>
      <c r="F440" s="2">
        <v>6.42</v>
      </c>
      <c r="G440" s="2" t="s">
        <v>21</v>
      </c>
      <c r="H440" s="2">
        <v>859</v>
      </c>
      <c r="I440" s="2">
        <v>4.7699999999999996</v>
      </c>
    </row>
    <row r="441" spans="1:9" x14ac:dyDescent="0.25">
      <c r="A441" s="2" t="s">
        <v>29</v>
      </c>
      <c r="B441" s="2" t="s">
        <v>30</v>
      </c>
      <c r="C441" s="3">
        <v>43838</v>
      </c>
      <c r="D441" s="2">
        <v>4012</v>
      </c>
      <c r="E441" s="2">
        <v>820</v>
      </c>
      <c r="F441" s="2">
        <v>7.74</v>
      </c>
      <c r="G441" s="2" t="s">
        <v>17</v>
      </c>
      <c r="H441" s="2">
        <v>126</v>
      </c>
      <c r="I441" s="2">
        <v>1.4</v>
      </c>
    </row>
    <row r="442" spans="1:9" x14ac:dyDescent="0.25">
      <c r="A442" s="2" t="s">
        <v>29</v>
      </c>
      <c r="B442" s="2" t="s">
        <v>30</v>
      </c>
      <c r="C442" s="3">
        <v>43839</v>
      </c>
      <c r="D442" s="2">
        <v>7938</v>
      </c>
      <c r="E442" s="2">
        <v>601</v>
      </c>
      <c r="F442" s="2">
        <v>9.23</v>
      </c>
      <c r="G442" s="2" t="s">
        <v>18</v>
      </c>
      <c r="H442" s="2">
        <v>767</v>
      </c>
      <c r="I442" s="2">
        <v>2.06</v>
      </c>
    </row>
    <row r="443" spans="1:9" x14ac:dyDescent="0.25">
      <c r="A443" s="2" t="s">
        <v>29</v>
      </c>
      <c r="B443" s="2" t="s">
        <v>30</v>
      </c>
      <c r="C443" s="3">
        <v>43840</v>
      </c>
      <c r="D443" s="2">
        <v>3292</v>
      </c>
      <c r="E443" s="2">
        <v>928</v>
      </c>
      <c r="F443" s="2">
        <v>3.46</v>
      </c>
      <c r="G443" s="2" t="s">
        <v>18</v>
      </c>
      <c r="H443" s="2">
        <v>145</v>
      </c>
      <c r="I443" s="2">
        <v>9.9600000000000009</v>
      </c>
    </row>
    <row r="444" spans="1:9" x14ac:dyDescent="0.25">
      <c r="A444" s="2" t="s">
        <v>29</v>
      </c>
      <c r="B444" s="2" t="s">
        <v>30</v>
      </c>
      <c r="C444" s="3">
        <v>43841</v>
      </c>
      <c r="D444" s="2">
        <v>4122</v>
      </c>
      <c r="E444" s="2">
        <v>547</v>
      </c>
      <c r="F444" s="2">
        <v>7.98</v>
      </c>
      <c r="G444" s="2" t="s">
        <v>20</v>
      </c>
      <c r="H444" s="2">
        <v>364</v>
      </c>
      <c r="I444" s="2">
        <v>8.42</v>
      </c>
    </row>
    <row r="445" spans="1:9" x14ac:dyDescent="0.25">
      <c r="A445" s="2" t="s">
        <v>29</v>
      </c>
      <c r="B445" s="2" t="s">
        <v>30</v>
      </c>
      <c r="C445" s="3">
        <v>43842</v>
      </c>
      <c r="D445" s="2">
        <v>8066</v>
      </c>
      <c r="E445" s="2">
        <v>843</v>
      </c>
      <c r="F445" s="2">
        <v>5.56</v>
      </c>
      <c r="G445" s="2" t="s">
        <v>21</v>
      </c>
      <c r="H445" s="2">
        <v>142</v>
      </c>
      <c r="I445" s="2">
        <v>9.69</v>
      </c>
    </row>
    <row r="446" spans="1:9" x14ac:dyDescent="0.25">
      <c r="A446" s="2" t="s">
        <v>29</v>
      </c>
      <c r="B446" s="2" t="s">
        <v>30</v>
      </c>
      <c r="C446" s="3">
        <v>44197</v>
      </c>
      <c r="D446" s="2">
        <v>8350</v>
      </c>
      <c r="E446" s="2">
        <v>882</v>
      </c>
      <c r="F446" s="2">
        <v>5.85</v>
      </c>
      <c r="G446" s="2" t="s">
        <v>21</v>
      </c>
      <c r="H446" s="2">
        <v>483</v>
      </c>
      <c r="I446" s="2">
        <v>1.41</v>
      </c>
    </row>
    <row r="447" spans="1:9" x14ac:dyDescent="0.25">
      <c r="A447" s="2" t="s">
        <v>29</v>
      </c>
      <c r="B447" s="2" t="s">
        <v>30</v>
      </c>
      <c r="C447" s="3">
        <v>44198</v>
      </c>
      <c r="D447" s="2">
        <v>9462</v>
      </c>
      <c r="E447" s="2">
        <v>1124</v>
      </c>
      <c r="F447" s="2">
        <v>8.0299999999999994</v>
      </c>
      <c r="G447" s="2" t="s">
        <v>17</v>
      </c>
      <c r="H447" s="2">
        <v>947</v>
      </c>
      <c r="I447" s="2">
        <v>9.34</v>
      </c>
    </row>
    <row r="448" spans="1:9" x14ac:dyDescent="0.25">
      <c r="A448" s="2" t="s">
        <v>29</v>
      </c>
      <c r="B448" s="2" t="s">
        <v>30</v>
      </c>
      <c r="C448" s="3">
        <v>44199</v>
      </c>
      <c r="D448" s="2">
        <v>8903</v>
      </c>
      <c r="E448" s="2">
        <v>1174</v>
      </c>
      <c r="F448" s="2">
        <v>4.45</v>
      </c>
      <c r="G448" s="2" t="s">
        <v>17</v>
      </c>
      <c r="H448" s="2">
        <v>292</v>
      </c>
      <c r="I448" s="2">
        <v>8.89</v>
      </c>
    </row>
    <row r="449" spans="1:9" x14ac:dyDescent="0.25">
      <c r="A449" s="2" t="s">
        <v>29</v>
      </c>
      <c r="B449" s="2" t="s">
        <v>30</v>
      </c>
      <c r="C449" s="3">
        <v>44200</v>
      </c>
      <c r="D449" s="2">
        <v>8667</v>
      </c>
      <c r="E449" s="2">
        <v>958</v>
      </c>
      <c r="F449" s="2">
        <v>2.29</v>
      </c>
      <c r="G449" s="2" t="s">
        <v>21</v>
      </c>
      <c r="H449" s="2">
        <v>222</v>
      </c>
      <c r="I449" s="2">
        <v>9.0399999999999991</v>
      </c>
    </row>
    <row r="450" spans="1:9" x14ac:dyDescent="0.25">
      <c r="A450" s="2" t="s">
        <v>29</v>
      </c>
      <c r="B450" s="2" t="s">
        <v>30</v>
      </c>
      <c r="C450" s="3">
        <v>44201</v>
      </c>
      <c r="D450" s="2">
        <v>5714</v>
      </c>
      <c r="E450" s="2">
        <v>836</v>
      </c>
      <c r="F450" s="2">
        <v>5.9</v>
      </c>
      <c r="G450" s="2" t="s">
        <v>20</v>
      </c>
      <c r="H450" s="2">
        <v>547</v>
      </c>
      <c r="I450" s="2">
        <v>8.98</v>
      </c>
    </row>
    <row r="451" spans="1:9" x14ac:dyDescent="0.25">
      <c r="A451" s="2" t="s">
        <v>29</v>
      </c>
      <c r="B451" s="2" t="s">
        <v>30</v>
      </c>
      <c r="C451" s="3">
        <v>44202</v>
      </c>
      <c r="D451" s="2">
        <v>6490</v>
      </c>
      <c r="E451" s="2">
        <v>327</v>
      </c>
      <c r="F451" s="2">
        <v>8.89</v>
      </c>
      <c r="G451" s="2" t="s">
        <v>21</v>
      </c>
      <c r="H451" s="2">
        <v>476</v>
      </c>
      <c r="I451" s="2">
        <v>5.82</v>
      </c>
    </row>
    <row r="452" spans="1:9" x14ac:dyDescent="0.25">
      <c r="A452" s="2" t="s">
        <v>29</v>
      </c>
      <c r="B452" s="2" t="s">
        <v>30</v>
      </c>
      <c r="C452" s="3">
        <v>44203</v>
      </c>
      <c r="D452" s="2">
        <v>5652</v>
      </c>
      <c r="E452" s="2">
        <v>214</v>
      </c>
      <c r="F452" s="2">
        <v>8.32</v>
      </c>
      <c r="G452" s="2" t="s">
        <v>18</v>
      </c>
      <c r="H452" s="2">
        <v>255</v>
      </c>
      <c r="I452" s="2">
        <v>1.35</v>
      </c>
    </row>
    <row r="453" spans="1:9" x14ac:dyDescent="0.25">
      <c r="A453" s="2" t="s">
        <v>29</v>
      </c>
      <c r="B453" s="2" t="s">
        <v>30</v>
      </c>
      <c r="C453" s="3">
        <v>44204</v>
      </c>
      <c r="D453" s="2">
        <v>8502</v>
      </c>
      <c r="E453" s="2">
        <v>253</v>
      </c>
      <c r="F453" s="2">
        <v>7.25</v>
      </c>
      <c r="G453" s="2" t="s">
        <v>18</v>
      </c>
      <c r="H453" s="2">
        <v>719</v>
      </c>
      <c r="I453" s="2">
        <v>2.5299999999999998</v>
      </c>
    </row>
    <row r="454" spans="1:9" x14ac:dyDescent="0.25">
      <c r="A454" s="2" t="s">
        <v>29</v>
      </c>
      <c r="B454" s="2" t="s">
        <v>30</v>
      </c>
      <c r="C454" s="3">
        <v>44205</v>
      </c>
      <c r="D454" s="2">
        <v>3419</v>
      </c>
      <c r="E454" s="2">
        <v>418</v>
      </c>
      <c r="F454" s="2">
        <v>2.77</v>
      </c>
      <c r="G454" s="2" t="s">
        <v>18</v>
      </c>
      <c r="H454" s="2">
        <v>229</v>
      </c>
      <c r="I454" s="2">
        <v>6.11</v>
      </c>
    </row>
    <row r="455" spans="1:9" x14ac:dyDescent="0.25">
      <c r="A455" s="2" t="s">
        <v>29</v>
      </c>
      <c r="B455" s="2" t="s">
        <v>30</v>
      </c>
      <c r="C455" s="3">
        <v>44206</v>
      </c>
      <c r="D455" s="2">
        <v>7852</v>
      </c>
      <c r="E455" s="2">
        <v>523</v>
      </c>
      <c r="F455" s="2">
        <v>3.94</v>
      </c>
      <c r="G455" s="2" t="s">
        <v>18</v>
      </c>
      <c r="H455" s="2">
        <v>591</v>
      </c>
      <c r="I455" s="2">
        <v>3.79</v>
      </c>
    </row>
    <row r="456" spans="1:9" x14ac:dyDescent="0.25">
      <c r="A456" s="2" t="s">
        <v>29</v>
      </c>
      <c r="B456" s="2" t="s">
        <v>30</v>
      </c>
      <c r="C456" s="3">
        <v>44207</v>
      </c>
      <c r="D456" s="2">
        <v>7547</v>
      </c>
      <c r="E456" s="2">
        <v>852</v>
      </c>
      <c r="F456" s="2">
        <v>4.5999999999999996</v>
      </c>
      <c r="G456" s="2" t="s">
        <v>20</v>
      </c>
      <c r="H456" s="2">
        <v>758</v>
      </c>
      <c r="I456" s="2">
        <v>0.57999999999999996</v>
      </c>
    </row>
    <row r="457" spans="1:9" x14ac:dyDescent="0.25">
      <c r="A457" s="2" t="s">
        <v>29</v>
      </c>
      <c r="B457" s="2" t="s">
        <v>30</v>
      </c>
      <c r="C457" s="3">
        <v>44208</v>
      </c>
      <c r="D457" s="2">
        <v>7058</v>
      </c>
      <c r="E457" s="2">
        <v>440</v>
      </c>
      <c r="F457" s="2">
        <v>7.95</v>
      </c>
      <c r="G457" s="2" t="s">
        <v>18</v>
      </c>
      <c r="H457" s="2">
        <v>273</v>
      </c>
      <c r="I457" s="2">
        <v>5.04</v>
      </c>
    </row>
    <row r="458" spans="1:9" x14ac:dyDescent="0.25">
      <c r="A458" s="2" t="s">
        <v>29</v>
      </c>
      <c r="B458" s="2" t="s">
        <v>30</v>
      </c>
      <c r="C458" s="3">
        <v>44562</v>
      </c>
      <c r="D458" s="2">
        <v>8735</v>
      </c>
      <c r="E458" s="2">
        <v>1124</v>
      </c>
      <c r="F458" s="2">
        <v>4.5599999999999996</v>
      </c>
      <c r="G458" s="2" t="s">
        <v>17</v>
      </c>
      <c r="H458" s="2">
        <v>371</v>
      </c>
      <c r="I458" s="2">
        <v>5.44</v>
      </c>
    </row>
    <row r="459" spans="1:9" x14ac:dyDescent="0.25">
      <c r="A459" s="2" t="s">
        <v>29</v>
      </c>
      <c r="B459" s="2" t="s">
        <v>30</v>
      </c>
      <c r="C459" s="3">
        <v>44563</v>
      </c>
      <c r="D459" s="2">
        <v>5370</v>
      </c>
      <c r="E459" s="2">
        <v>434</v>
      </c>
      <c r="F459" s="2">
        <v>7.35</v>
      </c>
      <c r="G459" s="2" t="s">
        <v>21</v>
      </c>
      <c r="H459" s="2">
        <v>602</v>
      </c>
      <c r="I459" s="2">
        <v>9.4600000000000009</v>
      </c>
    </row>
    <row r="460" spans="1:9" x14ac:dyDescent="0.25">
      <c r="A460" s="2" t="s">
        <v>29</v>
      </c>
      <c r="B460" s="2" t="s">
        <v>30</v>
      </c>
      <c r="C460" s="3">
        <v>44564</v>
      </c>
      <c r="D460" s="2">
        <v>5115</v>
      </c>
      <c r="E460" s="2">
        <v>307</v>
      </c>
      <c r="F460" s="2">
        <v>7.3</v>
      </c>
      <c r="G460" s="2" t="s">
        <v>21</v>
      </c>
      <c r="H460" s="2">
        <v>940</v>
      </c>
      <c r="I460" s="2">
        <v>4.2</v>
      </c>
    </row>
    <row r="461" spans="1:9" x14ac:dyDescent="0.25">
      <c r="A461" s="2" t="s">
        <v>29</v>
      </c>
      <c r="B461" s="2" t="s">
        <v>30</v>
      </c>
      <c r="C461" s="3">
        <v>44565</v>
      </c>
      <c r="D461" s="2">
        <v>4192</v>
      </c>
      <c r="E461" s="2">
        <v>1129</v>
      </c>
      <c r="F461" s="2">
        <v>7.72</v>
      </c>
      <c r="G461" s="2" t="s">
        <v>20</v>
      </c>
      <c r="H461" s="2">
        <v>203</v>
      </c>
      <c r="I461" s="2">
        <v>2.15</v>
      </c>
    </row>
    <row r="462" spans="1:9" x14ac:dyDescent="0.25">
      <c r="A462" s="2" t="s">
        <v>29</v>
      </c>
      <c r="B462" s="2" t="s">
        <v>30</v>
      </c>
      <c r="C462" s="3">
        <v>44566</v>
      </c>
      <c r="D462" s="2">
        <v>8404</v>
      </c>
      <c r="E462" s="2">
        <v>412</v>
      </c>
      <c r="F462" s="2">
        <v>4.72</v>
      </c>
      <c r="G462" s="2" t="s">
        <v>18</v>
      </c>
      <c r="H462" s="2">
        <v>266</v>
      </c>
      <c r="I462" s="2">
        <v>9.81</v>
      </c>
    </row>
    <row r="463" spans="1:9" x14ac:dyDescent="0.25">
      <c r="A463" s="2" t="s">
        <v>29</v>
      </c>
      <c r="B463" s="2" t="s">
        <v>30</v>
      </c>
      <c r="C463" s="3">
        <v>44567</v>
      </c>
      <c r="D463" s="2">
        <v>5755</v>
      </c>
      <c r="E463" s="2">
        <v>704</v>
      </c>
      <c r="F463" s="2">
        <v>6.37</v>
      </c>
      <c r="G463" s="2" t="s">
        <v>18</v>
      </c>
      <c r="H463" s="2">
        <v>689</v>
      </c>
      <c r="I463" s="2">
        <v>9.19</v>
      </c>
    </row>
    <row r="464" spans="1:9" x14ac:dyDescent="0.25">
      <c r="A464" s="2" t="s">
        <v>29</v>
      </c>
      <c r="B464" s="2" t="s">
        <v>30</v>
      </c>
      <c r="C464" s="3">
        <v>44568</v>
      </c>
      <c r="D464" s="2">
        <v>5661</v>
      </c>
      <c r="E464" s="2">
        <v>671</v>
      </c>
      <c r="F464" s="2">
        <v>2.58</v>
      </c>
      <c r="G464" s="2" t="s">
        <v>20</v>
      </c>
      <c r="H464" s="2">
        <v>783</v>
      </c>
      <c r="I464" s="2">
        <v>9.2899999999999991</v>
      </c>
    </row>
    <row r="465" spans="1:9" x14ac:dyDescent="0.25">
      <c r="A465" s="2" t="s">
        <v>29</v>
      </c>
      <c r="B465" s="2" t="s">
        <v>30</v>
      </c>
      <c r="C465" s="3">
        <v>44569</v>
      </c>
      <c r="D465" s="2">
        <v>9072</v>
      </c>
      <c r="E465" s="2">
        <v>590</v>
      </c>
      <c r="F465" s="2">
        <v>6.97</v>
      </c>
      <c r="G465" s="2" t="s">
        <v>21</v>
      </c>
      <c r="H465" s="2">
        <v>371</v>
      </c>
      <c r="I465" s="2">
        <v>3.95</v>
      </c>
    </row>
    <row r="466" spans="1:9" x14ac:dyDescent="0.25">
      <c r="A466" s="2" t="s">
        <v>29</v>
      </c>
      <c r="B466" s="2" t="s">
        <v>30</v>
      </c>
      <c r="C466" s="3">
        <v>44570</v>
      </c>
      <c r="D466" s="2">
        <v>5274</v>
      </c>
      <c r="E466" s="2">
        <v>1118</v>
      </c>
      <c r="F466" s="2">
        <v>2.06</v>
      </c>
      <c r="G466" s="2" t="s">
        <v>17</v>
      </c>
      <c r="H466" s="2">
        <v>238</v>
      </c>
      <c r="I466" s="2">
        <v>9.48</v>
      </c>
    </row>
    <row r="467" spans="1:9" x14ac:dyDescent="0.25">
      <c r="A467" s="2" t="s">
        <v>29</v>
      </c>
      <c r="B467" s="2" t="s">
        <v>30</v>
      </c>
      <c r="C467" s="3">
        <v>44571</v>
      </c>
      <c r="D467" s="2">
        <v>6502</v>
      </c>
      <c r="E467" s="2">
        <v>449</v>
      </c>
      <c r="F467" s="2">
        <v>6.13</v>
      </c>
      <c r="G467" s="2" t="s">
        <v>21</v>
      </c>
      <c r="H467" s="2">
        <v>347</v>
      </c>
      <c r="I467" s="2">
        <v>4.0999999999999996</v>
      </c>
    </row>
    <row r="468" spans="1:9" x14ac:dyDescent="0.25">
      <c r="A468" s="2" t="s">
        <v>29</v>
      </c>
      <c r="B468" s="2" t="s">
        <v>30</v>
      </c>
      <c r="C468" s="3">
        <v>44572</v>
      </c>
      <c r="D468" s="2">
        <v>3226</v>
      </c>
      <c r="E468" s="2">
        <v>724</v>
      </c>
      <c r="F468" s="2">
        <v>2.5499999999999998</v>
      </c>
      <c r="G468" s="2" t="s">
        <v>17</v>
      </c>
      <c r="H468" s="2">
        <v>851</v>
      </c>
      <c r="I468" s="2">
        <v>9.34</v>
      </c>
    </row>
    <row r="469" spans="1:9" x14ac:dyDescent="0.25">
      <c r="A469" s="2" t="s">
        <v>29</v>
      </c>
      <c r="B469" s="2" t="s">
        <v>30</v>
      </c>
      <c r="C469" s="3">
        <v>44573</v>
      </c>
      <c r="D469" s="2">
        <v>3266</v>
      </c>
      <c r="E469" s="2">
        <v>795</v>
      </c>
      <c r="F469" s="2">
        <v>6.87</v>
      </c>
      <c r="G469" s="2" t="s">
        <v>18</v>
      </c>
      <c r="H469" s="2">
        <v>697</v>
      </c>
      <c r="I469" s="2">
        <v>2.27</v>
      </c>
    </row>
    <row r="470" spans="1:9" x14ac:dyDescent="0.25">
      <c r="A470" s="2" t="s">
        <v>29</v>
      </c>
      <c r="B470" s="2" t="s">
        <v>30</v>
      </c>
      <c r="C470" s="3">
        <v>44927</v>
      </c>
      <c r="D470" s="2">
        <v>8723</v>
      </c>
      <c r="E470" s="2">
        <v>858</v>
      </c>
      <c r="F470" s="2">
        <v>8.4499999999999993</v>
      </c>
      <c r="G470" s="2" t="s">
        <v>17</v>
      </c>
      <c r="H470" s="2">
        <v>938</v>
      </c>
      <c r="I470" s="2">
        <v>1.24</v>
      </c>
    </row>
    <row r="471" spans="1:9" x14ac:dyDescent="0.25">
      <c r="A471" s="2" t="s">
        <v>29</v>
      </c>
      <c r="B471" s="2" t="s">
        <v>30</v>
      </c>
      <c r="C471" s="3">
        <v>44928</v>
      </c>
      <c r="D471" s="2">
        <v>7591</v>
      </c>
      <c r="E471" s="2">
        <v>902</v>
      </c>
      <c r="F471" s="2">
        <v>2.3199999999999998</v>
      </c>
      <c r="G471" s="2" t="s">
        <v>21</v>
      </c>
      <c r="H471" s="2">
        <v>841</v>
      </c>
      <c r="I471" s="2">
        <v>4.72</v>
      </c>
    </row>
    <row r="472" spans="1:9" x14ac:dyDescent="0.25">
      <c r="A472" s="2" t="s">
        <v>29</v>
      </c>
      <c r="B472" s="2" t="s">
        <v>30</v>
      </c>
      <c r="C472" s="3">
        <v>44929</v>
      </c>
      <c r="D472" s="2">
        <v>4602</v>
      </c>
      <c r="E472" s="2">
        <v>922</v>
      </c>
      <c r="F472" s="2">
        <v>5.29</v>
      </c>
      <c r="G472" s="2" t="s">
        <v>20</v>
      </c>
      <c r="H472" s="2">
        <v>492</v>
      </c>
      <c r="I472" s="2">
        <v>6.63</v>
      </c>
    </row>
    <row r="473" spans="1:9" x14ac:dyDescent="0.25">
      <c r="A473" s="2" t="s">
        <v>29</v>
      </c>
      <c r="B473" s="2" t="s">
        <v>30</v>
      </c>
      <c r="C473" s="3">
        <v>44930</v>
      </c>
      <c r="D473" s="2">
        <v>3632</v>
      </c>
      <c r="E473" s="2">
        <v>1069</v>
      </c>
      <c r="F473" s="2">
        <v>3.09</v>
      </c>
      <c r="G473" s="2" t="s">
        <v>21</v>
      </c>
      <c r="H473" s="2">
        <v>628</v>
      </c>
      <c r="I473" s="2">
        <v>3.95</v>
      </c>
    </row>
    <row r="474" spans="1:9" x14ac:dyDescent="0.25">
      <c r="A474" s="2" t="s">
        <v>29</v>
      </c>
      <c r="B474" s="2" t="s">
        <v>30</v>
      </c>
      <c r="C474" s="3">
        <v>44931</v>
      </c>
      <c r="D474" s="2">
        <v>7063</v>
      </c>
      <c r="E474" s="2">
        <v>633</v>
      </c>
      <c r="F474" s="2">
        <v>4.3</v>
      </c>
      <c r="G474" s="2" t="s">
        <v>18</v>
      </c>
      <c r="H474" s="2">
        <v>965</v>
      </c>
      <c r="I474" s="2">
        <v>8.18</v>
      </c>
    </row>
    <row r="475" spans="1:9" x14ac:dyDescent="0.25">
      <c r="A475" s="2" t="s">
        <v>29</v>
      </c>
      <c r="B475" s="2" t="s">
        <v>30</v>
      </c>
      <c r="C475" s="3">
        <v>44932</v>
      </c>
      <c r="D475" s="2">
        <v>6197</v>
      </c>
      <c r="E475" s="2">
        <v>485</v>
      </c>
      <c r="F475" s="2">
        <v>4.83</v>
      </c>
      <c r="G475" s="2" t="s">
        <v>17</v>
      </c>
      <c r="H475" s="2">
        <v>986</v>
      </c>
      <c r="I475" s="2">
        <v>1.82</v>
      </c>
    </row>
    <row r="476" spans="1:9" x14ac:dyDescent="0.25">
      <c r="A476" s="2" t="s">
        <v>29</v>
      </c>
      <c r="B476" s="2" t="s">
        <v>30</v>
      </c>
      <c r="C476" s="3">
        <v>44933</v>
      </c>
      <c r="D476" s="2">
        <v>3075</v>
      </c>
      <c r="E476" s="2">
        <v>1094</v>
      </c>
      <c r="F476" s="2">
        <v>7.84</v>
      </c>
      <c r="G476" s="2" t="s">
        <v>18</v>
      </c>
      <c r="H476" s="2">
        <v>448</v>
      </c>
      <c r="I476" s="2">
        <v>8</v>
      </c>
    </row>
    <row r="477" spans="1:9" x14ac:dyDescent="0.25">
      <c r="A477" s="2" t="s">
        <v>29</v>
      </c>
      <c r="B477" s="2" t="s">
        <v>30</v>
      </c>
      <c r="C477" s="3">
        <v>44934</v>
      </c>
      <c r="D477" s="2">
        <v>8491</v>
      </c>
      <c r="E477" s="2">
        <v>487</v>
      </c>
      <c r="F477" s="2">
        <v>6.29</v>
      </c>
      <c r="G477" s="2" t="s">
        <v>21</v>
      </c>
      <c r="H477" s="2">
        <v>841</v>
      </c>
      <c r="I477" s="2">
        <v>8.07</v>
      </c>
    </row>
    <row r="478" spans="1:9" x14ac:dyDescent="0.25">
      <c r="A478" s="2" t="s">
        <v>29</v>
      </c>
      <c r="B478" s="2" t="s">
        <v>30</v>
      </c>
      <c r="C478" s="3">
        <v>44935</v>
      </c>
      <c r="D478" s="2">
        <v>8858</v>
      </c>
      <c r="E478" s="2">
        <v>1105</v>
      </c>
      <c r="F478" s="2">
        <v>7.55</v>
      </c>
      <c r="G478" s="2" t="s">
        <v>18</v>
      </c>
      <c r="H478" s="2">
        <v>156</v>
      </c>
      <c r="I478" s="2">
        <v>9.7899999999999991</v>
      </c>
    </row>
    <row r="479" spans="1:9" x14ac:dyDescent="0.25">
      <c r="A479" s="2" t="s">
        <v>29</v>
      </c>
      <c r="B479" s="2" t="s">
        <v>30</v>
      </c>
      <c r="C479" s="3">
        <v>44936</v>
      </c>
      <c r="D479" s="2">
        <v>5361</v>
      </c>
      <c r="E479" s="2">
        <v>546</v>
      </c>
      <c r="F479" s="2">
        <v>1.71</v>
      </c>
      <c r="G479" s="2" t="s">
        <v>21</v>
      </c>
      <c r="H479" s="2">
        <v>631</v>
      </c>
      <c r="I479" s="2">
        <v>2.2599999999999998</v>
      </c>
    </row>
    <row r="480" spans="1:9" x14ac:dyDescent="0.25">
      <c r="A480" s="2" t="s">
        <v>29</v>
      </c>
      <c r="B480" s="2" t="s">
        <v>30</v>
      </c>
      <c r="C480" s="3">
        <v>44937</v>
      </c>
      <c r="D480" s="2">
        <v>6267</v>
      </c>
      <c r="E480" s="2">
        <v>1175</v>
      </c>
      <c r="F480" s="2">
        <v>6.83</v>
      </c>
      <c r="G480" s="2" t="s">
        <v>21</v>
      </c>
      <c r="H480" s="2">
        <v>426</v>
      </c>
      <c r="I480" s="2">
        <v>8.08</v>
      </c>
    </row>
    <row r="481" spans="1:9" x14ac:dyDescent="0.25">
      <c r="A481" s="2" t="s">
        <v>29</v>
      </c>
      <c r="B481" s="2" t="s">
        <v>30</v>
      </c>
      <c r="C481" s="3">
        <v>44938</v>
      </c>
      <c r="D481" s="2">
        <v>6465</v>
      </c>
      <c r="E481" s="2">
        <v>713</v>
      </c>
      <c r="F481" s="2">
        <v>9.91</v>
      </c>
      <c r="G481" s="2" t="s">
        <v>18</v>
      </c>
      <c r="H481" s="2">
        <v>61</v>
      </c>
      <c r="I481" s="2">
        <v>4.05</v>
      </c>
    </row>
    <row r="482" spans="1:9" x14ac:dyDescent="0.25">
      <c r="A482" s="2" t="s">
        <v>29</v>
      </c>
      <c r="B482" s="2" t="s">
        <v>30</v>
      </c>
      <c r="C482" s="3">
        <v>45292</v>
      </c>
      <c r="D482" s="2">
        <v>3716</v>
      </c>
      <c r="E482" s="2">
        <v>1004</v>
      </c>
      <c r="F482" s="2">
        <v>9.5</v>
      </c>
      <c r="G482" s="2" t="s">
        <v>17</v>
      </c>
      <c r="H482" s="2">
        <v>302</v>
      </c>
      <c r="I482" s="2">
        <v>2.57</v>
      </c>
    </row>
    <row r="483" spans="1:9" x14ac:dyDescent="0.25">
      <c r="A483" s="2" t="s">
        <v>29</v>
      </c>
      <c r="B483" s="2" t="s">
        <v>30</v>
      </c>
      <c r="C483" s="3">
        <v>45293</v>
      </c>
      <c r="D483" s="2">
        <v>3091</v>
      </c>
      <c r="E483" s="2">
        <v>1060</v>
      </c>
      <c r="F483" s="2">
        <v>8.19</v>
      </c>
      <c r="G483" s="2" t="s">
        <v>21</v>
      </c>
      <c r="H483" s="2">
        <v>418</v>
      </c>
      <c r="I483" s="2">
        <v>9.07</v>
      </c>
    </row>
    <row r="484" spans="1:9" x14ac:dyDescent="0.25">
      <c r="A484" s="2" t="s">
        <v>29</v>
      </c>
      <c r="B484" s="2" t="s">
        <v>30</v>
      </c>
      <c r="C484" s="3">
        <v>45294</v>
      </c>
      <c r="D484" s="2">
        <v>6752</v>
      </c>
      <c r="E484" s="2">
        <v>1136</v>
      </c>
      <c r="F484" s="2">
        <v>2.25</v>
      </c>
      <c r="G484" s="2" t="s">
        <v>20</v>
      </c>
      <c r="H484" s="2">
        <v>887</v>
      </c>
      <c r="I484" s="2">
        <v>7.79</v>
      </c>
    </row>
    <row r="485" spans="1:9" x14ac:dyDescent="0.25">
      <c r="A485" s="2" t="s">
        <v>29</v>
      </c>
      <c r="B485" s="2" t="s">
        <v>30</v>
      </c>
      <c r="C485" s="3">
        <v>45295</v>
      </c>
      <c r="D485" s="2">
        <v>7086</v>
      </c>
      <c r="E485" s="2">
        <v>1135</v>
      </c>
      <c r="F485" s="2">
        <v>4.4800000000000004</v>
      </c>
      <c r="G485" s="2" t="s">
        <v>17</v>
      </c>
      <c r="H485" s="2">
        <v>216</v>
      </c>
      <c r="I485" s="2">
        <v>9.8699999999999992</v>
      </c>
    </row>
    <row r="486" spans="1:9" x14ac:dyDescent="0.25">
      <c r="A486" s="2" t="s">
        <v>29</v>
      </c>
      <c r="B486" s="2" t="s">
        <v>30</v>
      </c>
      <c r="C486" s="3">
        <v>45296</v>
      </c>
      <c r="D486" s="2">
        <v>3122</v>
      </c>
      <c r="E486" s="2">
        <v>730</v>
      </c>
      <c r="F486" s="2">
        <v>6.41</v>
      </c>
      <c r="G486" s="2" t="s">
        <v>20</v>
      </c>
      <c r="H486" s="2">
        <v>953</v>
      </c>
      <c r="I486" s="2">
        <v>6.58</v>
      </c>
    </row>
    <row r="487" spans="1:9" x14ac:dyDescent="0.25">
      <c r="A487" s="2" t="s">
        <v>29</v>
      </c>
      <c r="B487" s="2" t="s">
        <v>30</v>
      </c>
      <c r="C487" s="3">
        <v>45297</v>
      </c>
      <c r="D487" s="2">
        <v>4607</v>
      </c>
      <c r="E487" s="2">
        <v>925</v>
      </c>
      <c r="F487" s="2">
        <v>3.03</v>
      </c>
      <c r="G487" s="2" t="s">
        <v>21</v>
      </c>
      <c r="H487" s="2">
        <v>518</v>
      </c>
      <c r="I487" s="2">
        <v>7.21</v>
      </c>
    </row>
    <row r="488" spans="1:9" x14ac:dyDescent="0.25">
      <c r="A488" s="2" t="s">
        <v>29</v>
      </c>
      <c r="B488" s="2" t="s">
        <v>30</v>
      </c>
      <c r="C488" s="3">
        <v>45298</v>
      </c>
      <c r="D488" s="2">
        <v>3594</v>
      </c>
      <c r="E488" s="2">
        <v>506</v>
      </c>
      <c r="F488" s="2">
        <v>7.76</v>
      </c>
      <c r="G488" s="2" t="s">
        <v>17</v>
      </c>
      <c r="H488" s="2">
        <v>939</v>
      </c>
      <c r="I488" s="2">
        <v>0.23</v>
      </c>
    </row>
    <row r="489" spans="1:9" x14ac:dyDescent="0.25">
      <c r="A489" s="2" t="s">
        <v>29</v>
      </c>
      <c r="B489" s="2" t="s">
        <v>30</v>
      </c>
      <c r="C489" s="3">
        <v>45299</v>
      </c>
      <c r="D489" s="2">
        <v>9087</v>
      </c>
      <c r="E489" s="2">
        <v>1037</v>
      </c>
      <c r="F489" s="2">
        <v>1.37</v>
      </c>
      <c r="G489" s="2" t="s">
        <v>21</v>
      </c>
      <c r="H489" s="2">
        <v>307</v>
      </c>
      <c r="I489" s="2">
        <v>1.85</v>
      </c>
    </row>
    <row r="490" spans="1:9" x14ac:dyDescent="0.25">
      <c r="A490" s="2" t="s">
        <v>29</v>
      </c>
      <c r="B490" s="2" t="s">
        <v>30</v>
      </c>
      <c r="C490" s="3">
        <v>45300</v>
      </c>
      <c r="D490" s="2">
        <v>5094</v>
      </c>
      <c r="E490" s="2">
        <v>1002</v>
      </c>
      <c r="F490" s="2">
        <v>7.77</v>
      </c>
      <c r="G490" s="2" t="s">
        <v>21</v>
      </c>
      <c r="H490" s="2">
        <v>95</v>
      </c>
      <c r="I490" s="2">
        <v>4.71</v>
      </c>
    </row>
    <row r="491" spans="1:9" x14ac:dyDescent="0.25">
      <c r="A491" s="2" t="s">
        <v>29</v>
      </c>
      <c r="B491" s="2" t="s">
        <v>30</v>
      </c>
      <c r="C491" s="3">
        <v>45301</v>
      </c>
      <c r="D491" s="2">
        <v>6368</v>
      </c>
      <c r="E491" s="2">
        <v>1146</v>
      </c>
      <c r="F491" s="2">
        <v>7.36</v>
      </c>
      <c r="G491" s="2" t="s">
        <v>20</v>
      </c>
      <c r="H491" s="2">
        <v>935</v>
      </c>
      <c r="I491" s="2">
        <v>0.2</v>
      </c>
    </row>
    <row r="492" spans="1:9" x14ac:dyDescent="0.25">
      <c r="A492" s="2" t="s">
        <v>29</v>
      </c>
      <c r="B492" s="2" t="s">
        <v>30</v>
      </c>
      <c r="C492" s="3">
        <v>45302</v>
      </c>
      <c r="D492" s="2">
        <v>3656</v>
      </c>
      <c r="E492" s="2">
        <v>563</v>
      </c>
      <c r="F492" s="2">
        <v>3.76</v>
      </c>
      <c r="G492" s="2" t="s">
        <v>17</v>
      </c>
      <c r="H492" s="2">
        <v>270</v>
      </c>
      <c r="I492" s="2">
        <v>0.85</v>
      </c>
    </row>
    <row r="493" spans="1:9" x14ac:dyDescent="0.25">
      <c r="A493" s="2" t="s">
        <v>29</v>
      </c>
      <c r="B493" s="2" t="s">
        <v>30</v>
      </c>
      <c r="C493" s="3">
        <v>45303</v>
      </c>
      <c r="D493" s="2">
        <v>9169</v>
      </c>
      <c r="E493" s="2">
        <v>891</v>
      </c>
      <c r="F493" s="2">
        <v>1.91</v>
      </c>
      <c r="G493" s="2" t="s">
        <v>18</v>
      </c>
      <c r="H493" s="2">
        <v>948</v>
      </c>
      <c r="I493" s="2">
        <v>4.8499999999999996</v>
      </c>
    </row>
    <row r="494" spans="1:9" x14ac:dyDescent="0.25">
      <c r="A494" s="2" t="s">
        <v>29</v>
      </c>
      <c r="B494" s="2" t="s">
        <v>30</v>
      </c>
      <c r="C494" s="3">
        <v>45658</v>
      </c>
      <c r="D494" s="2">
        <v>8253</v>
      </c>
      <c r="E494" s="2">
        <v>400</v>
      </c>
      <c r="F494" s="2">
        <v>1.41</v>
      </c>
      <c r="G494" s="2" t="s">
        <v>20</v>
      </c>
      <c r="H494" s="2">
        <v>168</v>
      </c>
      <c r="I494" s="2">
        <v>0.31</v>
      </c>
    </row>
    <row r="495" spans="1:9" x14ac:dyDescent="0.25">
      <c r="A495" s="2" t="s">
        <v>29</v>
      </c>
      <c r="B495" s="2" t="s">
        <v>30</v>
      </c>
      <c r="C495" s="3">
        <v>45659</v>
      </c>
      <c r="D495" s="2">
        <v>5556</v>
      </c>
      <c r="E495" s="2">
        <v>341</v>
      </c>
      <c r="F495" s="2">
        <v>5.27</v>
      </c>
      <c r="G495" s="2" t="s">
        <v>17</v>
      </c>
      <c r="H495" s="2">
        <v>657</v>
      </c>
      <c r="I495" s="2">
        <v>0.44</v>
      </c>
    </row>
    <row r="496" spans="1:9" x14ac:dyDescent="0.25">
      <c r="A496" s="2" t="s">
        <v>29</v>
      </c>
      <c r="B496" s="2" t="s">
        <v>30</v>
      </c>
      <c r="C496" s="3">
        <v>45660</v>
      </c>
      <c r="D496" s="2">
        <v>5318</v>
      </c>
      <c r="E496" s="2">
        <v>661</v>
      </c>
      <c r="F496" s="2">
        <v>1.82</v>
      </c>
      <c r="G496" s="2" t="s">
        <v>17</v>
      </c>
      <c r="H496" s="2">
        <v>875</v>
      </c>
      <c r="I496" s="2">
        <v>6.32</v>
      </c>
    </row>
    <row r="497" spans="1:9" x14ac:dyDescent="0.25">
      <c r="A497" s="2" t="s">
        <v>29</v>
      </c>
      <c r="B497" s="2" t="s">
        <v>30</v>
      </c>
      <c r="C497" s="3">
        <v>45661</v>
      </c>
      <c r="D497" s="2">
        <v>8185</v>
      </c>
      <c r="E497" s="2">
        <v>727</v>
      </c>
      <c r="F497" s="2">
        <v>8.73</v>
      </c>
      <c r="G497" s="2" t="s">
        <v>21</v>
      </c>
      <c r="H497" s="2">
        <v>431</v>
      </c>
      <c r="I497" s="2">
        <v>6.81</v>
      </c>
    </row>
    <row r="498" spans="1:9" x14ac:dyDescent="0.25">
      <c r="A498" s="2" t="s">
        <v>29</v>
      </c>
      <c r="B498" s="2" t="s">
        <v>30</v>
      </c>
      <c r="C498" s="3">
        <v>45662</v>
      </c>
      <c r="D498" s="2">
        <v>8932</v>
      </c>
      <c r="E498" s="2">
        <v>905</v>
      </c>
      <c r="F498" s="2">
        <v>3.07</v>
      </c>
      <c r="G498" s="2" t="s">
        <v>17</v>
      </c>
      <c r="H498" s="2">
        <v>480</v>
      </c>
      <c r="I498" s="2">
        <v>5.88</v>
      </c>
    </row>
    <row r="499" spans="1:9" x14ac:dyDescent="0.25">
      <c r="A499" s="2" t="s">
        <v>29</v>
      </c>
      <c r="B499" s="2" t="s">
        <v>30</v>
      </c>
      <c r="C499" s="3">
        <v>45663</v>
      </c>
      <c r="D499" s="2">
        <v>7966</v>
      </c>
      <c r="E499" s="2">
        <v>622</v>
      </c>
      <c r="F499" s="2">
        <v>2.87</v>
      </c>
      <c r="G499" s="2" t="s">
        <v>20</v>
      </c>
      <c r="H499" s="2">
        <v>244</v>
      </c>
      <c r="I499" s="2">
        <v>7.78</v>
      </c>
    </row>
    <row r="500" spans="1:9" x14ac:dyDescent="0.25">
      <c r="A500" s="2" t="s">
        <v>29</v>
      </c>
      <c r="B500" s="2" t="s">
        <v>30</v>
      </c>
      <c r="C500" s="3">
        <v>45664</v>
      </c>
      <c r="D500" s="2">
        <v>4174</v>
      </c>
      <c r="E500" s="2">
        <v>211</v>
      </c>
      <c r="F500" s="2">
        <v>2.7</v>
      </c>
      <c r="G500" s="2" t="s">
        <v>20</v>
      </c>
      <c r="H500" s="2">
        <v>260</v>
      </c>
      <c r="I500" s="2">
        <v>2.09</v>
      </c>
    </row>
    <row r="501" spans="1:9" x14ac:dyDescent="0.25">
      <c r="A501" s="2" t="s">
        <v>29</v>
      </c>
      <c r="B501" s="2" t="s">
        <v>30</v>
      </c>
      <c r="C501" s="3">
        <v>45665</v>
      </c>
      <c r="D501" s="2">
        <v>9803</v>
      </c>
      <c r="E501" s="2">
        <v>1102</v>
      </c>
      <c r="F501" s="2">
        <v>8.2200000000000006</v>
      </c>
      <c r="G501" s="2" t="s">
        <v>21</v>
      </c>
      <c r="H501" s="2">
        <v>464</v>
      </c>
      <c r="I501" s="2">
        <v>7.88</v>
      </c>
    </row>
    <row r="502" spans="1:9" x14ac:dyDescent="0.25">
      <c r="A502" s="2" t="s">
        <v>29</v>
      </c>
      <c r="B502" s="2" t="s">
        <v>30</v>
      </c>
      <c r="C502" s="3">
        <v>45666</v>
      </c>
      <c r="D502" s="2">
        <v>4947</v>
      </c>
      <c r="E502" s="2">
        <v>1090</v>
      </c>
      <c r="F502" s="2">
        <v>5.0199999999999996</v>
      </c>
      <c r="G502" s="2" t="s">
        <v>18</v>
      </c>
      <c r="H502" s="2">
        <v>357</v>
      </c>
      <c r="I502" s="2">
        <v>0.45</v>
      </c>
    </row>
    <row r="503" spans="1:9" x14ac:dyDescent="0.25">
      <c r="A503" s="2" t="s">
        <v>29</v>
      </c>
      <c r="B503" s="2" t="s">
        <v>30</v>
      </c>
      <c r="C503" s="3">
        <v>45667</v>
      </c>
      <c r="D503" s="2">
        <v>7102</v>
      </c>
      <c r="E503" s="2">
        <v>1012</v>
      </c>
      <c r="F503" s="2">
        <v>9.49</v>
      </c>
      <c r="G503" s="2" t="s">
        <v>21</v>
      </c>
      <c r="H503" s="2">
        <v>472</v>
      </c>
      <c r="I503" s="2">
        <v>7.37</v>
      </c>
    </row>
    <row r="504" spans="1:9" x14ac:dyDescent="0.25">
      <c r="A504" s="2" t="s">
        <v>29</v>
      </c>
      <c r="B504" s="2" t="s">
        <v>30</v>
      </c>
      <c r="C504" s="3">
        <v>45668</v>
      </c>
      <c r="D504" s="2">
        <v>3942</v>
      </c>
      <c r="E504" s="2">
        <v>1032</v>
      </c>
      <c r="F504" s="2">
        <v>2.39</v>
      </c>
      <c r="G504" s="2" t="s">
        <v>21</v>
      </c>
      <c r="H504" s="2">
        <v>955</v>
      </c>
      <c r="I504" s="2">
        <v>4.84</v>
      </c>
    </row>
    <row r="505" spans="1:9" x14ac:dyDescent="0.25">
      <c r="A505" s="2" t="s">
        <v>29</v>
      </c>
      <c r="B505" s="2" t="s">
        <v>30</v>
      </c>
      <c r="C505" s="3">
        <v>45669</v>
      </c>
      <c r="D505" s="2">
        <v>8067</v>
      </c>
      <c r="E505" s="2">
        <v>888</v>
      </c>
      <c r="F505" s="2">
        <v>4.1500000000000004</v>
      </c>
      <c r="G505" s="2" t="s">
        <v>20</v>
      </c>
      <c r="H505" s="2">
        <v>418</v>
      </c>
      <c r="I505" s="2">
        <v>1.31</v>
      </c>
    </row>
    <row r="506" spans="1:9" x14ac:dyDescent="0.25">
      <c r="A506" s="2" t="s">
        <v>29</v>
      </c>
      <c r="B506" s="2" t="s">
        <v>31</v>
      </c>
      <c r="C506" s="3">
        <v>43831</v>
      </c>
      <c r="D506" s="2">
        <v>3662</v>
      </c>
      <c r="E506" s="2">
        <v>385</v>
      </c>
      <c r="F506" s="2">
        <v>4.25</v>
      </c>
      <c r="G506" s="2" t="s">
        <v>18</v>
      </c>
      <c r="H506" s="2">
        <v>580</v>
      </c>
      <c r="I506" s="2">
        <v>0.35</v>
      </c>
    </row>
    <row r="507" spans="1:9" x14ac:dyDescent="0.25">
      <c r="A507" s="2" t="s">
        <v>29</v>
      </c>
      <c r="B507" s="2" t="s">
        <v>31</v>
      </c>
      <c r="C507" s="3">
        <v>43832</v>
      </c>
      <c r="D507" s="2">
        <v>9591</v>
      </c>
      <c r="E507" s="2">
        <v>301</v>
      </c>
      <c r="F507" s="2">
        <v>9.15</v>
      </c>
      <c r="G507" s="2" t="s">
        <v>21</v>
      </c>
      <c r="H507" s="2">
        <v>368</v>
      </c>
      <c r="I507" s="2">
        <v>5.96</v>
      </c>
    </row>
    <row r="508" spans="1:9" x14ac:dyDescent="0.25">
      <c r="A508" s="2" t="s">
        <v>29</v>
      </c>
      <c r="B508" s="2" t="s">
        <v>31</v>
      </c>
      <c r="C508" s="3">
        <v>43833</v>
      </c>
      <c r="D508" s="2">
        <v>7390</v>
      </c>
      <c r="E508" s="2">
        <v>1073</v>
      </c>
      <c r="F508" s="2">
        <v>4.24</v>
      </c>
      <c r="G508" s="2" t="s">
        <v>17</v>
      </c>
      <c r="H508" s="2">
        <v>331</v>
      </c>
      <c r="I508" s="2">
        <v>1.66</v>
      </c>
    </row>
    <row r="509" spans="1:9" x14ac:dyDescent="0.25">
      <c r="A509" s="2" t="s">
        <v>29</v>
      </c>
      <c r="B509" s="2" t="s">
        <v>31</v>
      </c>
      <c r="C509" s="3">
        <v>43834</v>
      </c>
      <c r="D509" s="2">
        <v>8669</v>
      </c>
      <c r="E509" s="2">
        <v>924</v>
      </c>
      <c r="F509" s="2">
        <v>3.59</v>
      </c>
      <c r="G509" s="2" t="s">
        <v>17</v>
      </c>
      <c r="H509" s="2">
        <v>416</v>
      </c>
      <c r="I509" s="2">
        <v>4.96</v>
      </c>
    </row>
    <row r="510" spans="1:9" x14ac:dyDescent="0.25">
      <c r="A510" s="2" t="s">
        <v>29</v>
      </c>
      <c r="B510" s="2" t="s">
        <v>31</v>
      </c>
      <c r="C510" s="3">
        <v>43835</v>
      </c>
      <c r="D510" s="2">
        <v>7414</v>
      </c>
      <c r="E510" s="2">
        <v>1198</v>
      </c>
      <c r="F510" s="2">
        <v>7.25</v>
      </c>
      <c r="G510" s="2" t="s">
        <v>21</v>
      </c>
      <c r="H510" s="2">
        <v>933</v>
      </c>
      <c r="I510" s="2">
        <v>3.28</v>
      </c>
    </row>
    <row r="511" spans="1:9" x14ac:dyDescent="0.25">
      <c r="A511" s="2" t="s">
        <v>29</v>
      </c>
      <c r="B511" s="2" t="s">
        <v>31</v>
      </c>
      <c r="C511" s="3">
        <v>43836</v>
      </c>
      <c r="D511" s="2">
        <v>7497</v>
      </c>
      <c r="E511" s="2">
        <v>910</v>
      </c>
      <c r="F511" s="2">
        <v>8.25</v>
      </c>
      <c r="G511" s="2" t="s">
        <v>17</v>
      </c>
      <c r="H511" s="2">
        <v>319</v>
      </c>
      <c r="I511" s="2">
        <v>6.24</v>
      </c>
    </row>
    <row r="512" spans="1:9" x14ac:dyDescent="0.25">
      <c r="A512" s="2" t="s">
        <v>29</v>
      </c>
      <c r="B512" s="2" t="s">
        <v>31</v>
      </c>
      <c r="C512" s="3">
        <v>43837</v>
      </c>
      <c r="D512" s="2">
        <v>6202</v>
      </c>
      <c r="E512" s="2">
        <v>1090</v>
      </c>
      <c r="F512" s="2">
        <v>8.58</v>
      </c>
      <c r="G512" s="2" t="s">
        <v>20</v>
      </c>
      <c r="H512" s="2">
        <v>779</v>
      </c>
      <c r="I512" s="2">
        <v>2.92</v>
      </c>
    </row>
    <row r="513" spans="1:9" x14ac:dyDescent="0.25">
      <c r="A513" s="2" t="s">
        <v>29</v>
      </c>
      <c r="B513" s="2" t="s">
        <v>31</v>
      </c>
      <c r="C513" s="3">
        <v>43838</v>
      </c>
      <c r="D513" s="2">
        <v>4896</v>
      </c>
      <c r="E513" s="2">
        <v>780</v>
      </c>
      <c r="F513" s="2">
        <v>9.65</v>
      </c>
      <c r="G513" s="2" t="s">
        <v>20</v>
      </c>
      <c r="H513" s="2">
        <v>997</v>
      </c>
      <c r="I513" s="2">
        <v>4.0199999999999996</v>
      </c>
    </row>
    <row r="514" spans="1:9" x14ac:dyDescent="0.25">
      <c r="A514" s="2" t="s">
        <v>29</v>
      </c>
      <c r="B514" s="2" t="s">
        <v>31</v>
      </c>
      <c r="C514" s="3">
        <v>43839</v>
      </c>
      <c r="D514" s="2">
        <v>4111</v>
      </c>
      <c r="E514" s="2">
        <v>384</v>
      </c>
      <c r="F514" s="2">
        <v>4.24</v>
      </c>
      <c r="G514" s="2" t="s">
        <v>20</v>
      </c>
      <c r="H514" s="2">
        <v>877</v>
      </c>
      <c r="I514" s="2">
        <v>9.0299999999999994</v>
      </c>
    </row>
    <row r="515" spans="1:9" x14ac:dyDescent="0.25">
      <c r="A515" s="2" t="s">
        <v>29</v>
      </c>
      <c r="B515" s="2" t="s">
        <v>31</v>
      </c>
      <c r="C515" s="3">
        <v>43840</v>
      </c>
      <c r="D515" s="2">
        <v>9182</v>
      </c>
      <c r="E515" s="2">
        <v>317</v>
      </c>
      <c r="F515" s="2">
        <v>5.83</v>
      </c>
      <c r="G515" s="2" t="s">
        <v>20</v>
      </c>
      <c r="H515" s="2">
        <v>435</v>
      </c>
      <c r="I515" s="2">
        <v>3.15</v>
      </c>
    </row>
    <row r="516" spans="1:9" x14ac:dyDescent="0.25">
      <c r="A516" s="2" t="s">
        <v>29</v>
      </c>
      <c r="B516" s="2" t="s">
        <v>31</v>
      </c>
      <c r="C516" s="3">
        <v>43841</v>
      </c>
      <c r="D516" s="2">
        <v>4944</v>
      </c>
      <c r="E516" s="2">
        <v>958</v>
      </c>
      <c r="F516" s="2">
        <v>3.45</v>
      </c>
      <c r="G516" s="2" t="s">
        <v>17</v>
      </c>
      <c r="H516" s="2">
        <v>527</v>
      </c>
      <c r="I516" s="2">
        <v>7.58</v>
      </c>
    </row>
    <row r="517" spans="1:9" x14ac:dyDescent="0.25">
      <c r="A517" s="2" t="s">
        <v>29</v>
      </c>
      <c r="B517" s="2" t="s">
        <v>31</v>
      </c>
      <c r="C517" s="3">
        <v>43842</v>
      </c>
      <c r="D517" s="2">
        <v>6671</v>
      </c>
      <c r="E517" s="2">
        <v>1009</v>
      </c>
      <c r="F517" s="2">
        <v>2.36</v>
      </c>
      <c r="G517" s="2" t="s">
        <v>18</v>
      </c>
      <c r="H517" s="2">
        <v>982</v>
      </c>
      <c r="I517" s="2">
        <v>1.03</v>
      </c>
    </row>
    <row r="518" spans="1:9" x14ac:dyDescent="0.25">
      <c r="A518" s="2" t="s">
        <v>29</v>
      </c>
      <c r="B518" s="2" t="s">
        <v>31</v>
      </c>
      <c r="C518" s="3">
        <v>44197</v>
      </c>
      <c r="D518" s="2">
        <v>5923</v>
      </c>
      <c r="E518" s="2">
        <v>1186</v>
      </c>
      <c r="F518" s="2">
        <v>8.7899999999999991</v>
      </c>
      <c r="G518" s="2" t="s">
        <v>17</v>
      </c>
      <c r="H518" s="2">
        <v>374</v>
      </c>
      <c r="I518" s="2">
        <v>3.74</v>
      </c>
    </row>
    <row r="519" spans="1:9" x14ac:dyDescent="0.25">
      <c r="A519" s="2" t="s">
        <v>29</v>
      </c>
      <c r="B519" s="2" t="s">
        <v>31</v>
      </c>
      <c r="C519" s="3">
        <v>44198</v>
      </c>
      <c r="D519" s="2">
        <v>9914</v>
      </c>
      <c r="E519" s="2">
        <v>975</v>
      </c>
      <c r="F519" s="2">
        <v>3.1</v>
      </c>
      <c r="G519" s="2" t="s">
        <v>21</v>
      </c>
      <c r="H519" s="2">
        <v>462</v>
      </c>
      <c r="I519" s="2">
        <v>9.51</v>
      </c>
    </row>
    <row r="520" spans="1:9" x14ac:dyDescent="0.25">
      <c r="A520" s="2" t="s">
        <v>29</v>
      </c>
      <c r="B520" s="2" t="s">
        <v>31</v>
      </c>
      <c r="C520" s="3">
        <v>44199</v>
      </c>
      <c r="D520" s="2">
        <v>5095</v>
      </c>
      <c r="E520" s="2">
        <v>618</v>
      </c>
      <c r="F520" s="2">
        <v>4.1900000000000004</v>
      </c>
      <c r="G520" s="2" t="s">
        <v>20</v>
      </c>
      <c r="H520" s="2">
        <v>694</v>
      </c>
      <c r="I520" s="2">
        <v>7.45</v>
      </c>
    </row>
    <row r="521" spans="1:9" x14ac:dyDescent="0.25">
      <c r="A521" s="2" t="s">
        <v>29</v>
      </c>
      <c r="B521" s="2" t="s">
        <v>31</v>
      </c>
      <c r="C521" s="3">
        <v>44200</v>
      </c>
      <c r="D521" s="2">
        <v>5873</v>
      </c>
      <c r="E521" s="2">
        <v>861</v>
      </c>
      <c r="F521" s="2">
        <v>2.61</v>
      </c>
      <c r="G521" s="2" t="s">
        <v>21</v>
      </c>
      <c r="H521" s="2">
        <v>768</v>
      </c>
      <c r="I521" s="2">
        <v>2.52</v>
      </c>
    </row>
    <row r="522" spans="1:9" x14ac:dyDescent="0.25">
      <c r="A522" s="2" t="s">
        <v>29</v>
      </c>
      <c r="B522" s="2" t="s">
        <v>31</v>
      </c>
      <c r="C522" s="3">
        <v>44201</v>
      </c>
      <c r="D522" s="2">
        <v>6089</v>
      </c>
      <c r="E522" s="2">
        <v>307</v>
      </c>
      <c r="F522" s="2">
        <v>5.29</v>
      </c>
      <c r="G522" s="2" t="s">
        <v>17</v>
      </c>
      <c r="H522" s="2">
        <v>324</v>
      </c>
      <c r="I522" s="2">
        <v>7.61</v>
      </c>
    </row>
    <row r="523" spans="1:9" x14ac:dyDescent="0.25">
      <c r="A523" s="2" t="s">
        <v>29</v>
      </c>
      <c r="B523" s="2" t="s">
        <v>31</v>
      </c>
      <c r="C523" s="3">
        <v>44202</v>
      </c>
      <c r="D523" s="2">
        <v>6289</v>
      </c>
      <c r="E523" s="2">
        <v>815</v>
      </c>
      <c r="F523" s="2">
        <v>3.16</v>
      </c>
      <c r="G523" s="2" t="s">
        <v>17</v>
      </c>
      <c r="H523" s="2">
        <v>93</v>
      </c>
      <c r="I523" s="2">
        <v>0.91</v>
      </c>
    </row>
    <row r="524" spans="1:9" x14ac:dyDescent="0.25">
      <c r="A524" s="2" t="s">
        <v>29</v>
      </c>
      <c r="B524" s="2" t="s">
        <v>31</v>
      </c>
      <c r="C524" s="3">
        <v>44203</v>
      </c>
      <c r="D524" s="2">
        <v>8523</v>
      </c>
      <c r="E524" s="2">
        <v>803</v>
      </c>
      <c r="F524" s="2">
        <v>5.52</v>
      </c>
      <c r="G524" s="2" t="s">
        <v>20</v>
      </c>
      <c r="H524" s="2">
        <v>630</v>
      </c>
      <c r="I524" s="2">
        <v>7.36</v>
      </c>
    </row>
    <row r="525" spans="1:9" x14ac:dyDescent="0.25">
      <c r="A525" s="2" t="s">
        <v>29</v>
      </c>
      <c r="B525" s="2" t="s">
        <v>31</v>
      </c>
      <c r="C525" s="3">
        <v>44204</v>
      </c>
      <c r="D525" s="2">
        <v>5940</v>
      </c>
      <c r="E525" s="2">
        <v>682</v>
      </c>
      <c r="F525" s="2">
        <v>8.52</v>
      </c>
      <c r="G525" s="2" t="s">
        <v>21</v>
      </c>
      <c r="H525" s="2">
        <v>534</v>
      </c>
      <c r="I525" s="2">
        <v>1.61</v>
      </c>
    </row>
    <row r="526" spans="1:9" x14ac:dyDescent="0.25">
      <c r="A526" s="2" t="s">
        <v>29</v>
      </c>
      <c r="B526" s="2" t="s">
        <v>31</v>
      </c>
      <c r="C526" s="3">
        <v>44205</v>
      </c>
      <c r="D526" s="2">
        <v>8880</v>
      </c>
      <c r="E526" s="2">
        <v>225</v>
      </c>
      <c r="F526" s="2">
        <v>5.67</v>
      </c>
      <c r="G526" s="2" t="s">
        <v>21</v>
      </c>
      <c r="H526" s="2">
        <v>72</v>
      </c>
      <c r="I526" s="2">
        <v>2.17</v>
      </c>
    </row>
    <row r="527" spans="1:9" x14ac:dyDescent="0.25">
      <c r="A527" s="2" t="s">
        <v>29</v>
      </c>
      <c r="B527" s="2" t="s">
        <v>31</v>
      </c>
      <c r="C527" s="3">
        <v>44206</v>
      </c>
      <c r="D527" s="2">
        <v>6783</v>
      </c>
      <c r="E527" s="2">
        <v>1066</v>
      </c>
      <c r="F527" s="2">
        <v>1.26</v>
      </c>
      <c r="G527" s="2" t="s">
        <v>18</v>
      </c>
      <c r="H527" s="2">
        <v>467</v>
      </c>
      <c r="I527" s="2">
        <v>4.16</v>
      </c>
    </row>
    <row r="528" spans="1:9" x14ac:dyDescent="0.25">
      <c r="A528" s="2" t="s">
        <v>29</v>
      </c>
      <c r="B528" s="2" t="s">
        <v>31</v>
      </c>
      <c r="C528" s="3">
        <v>44207</v>
      </c>
      <c r="D528" s="2">
        <v>9830</v>
      </c>
      <c r="E528" s="2">
        <v>1017</v>
      </c>
      <c r="F528" s="2">
        <v>6.79</v>
      </c>
      <c r="G528" s="2" t="s">
        <v>20</v>
      </c>
      <c r="H528" s="2">
        <v>778</v>
      </c>
      <c r="I528" s="2">
        <v>2.42</v>
      </c>
    </row>
    <row r="529" spans="1:9" x14ac:dyDescent="0.25">
      <c r="A529" s="2" t="s">
        <v>29</v>
      </c>
      <c r="B529" s="2" t="s">
        <v>31</v>
      </c>
      <c r="C529" s="3">
        <v>44208</v>
      </c>
      <c r="D529" s="2">
        <v>6398</v>
      </c>
      <c r="E529" s="2">
        <v>903</v>
      </c>
      <c r="F529" s="2">
        <v>2.17</v>
      </c>
      <c r="G529" s="2" t="s">
        <v>21</v>
      </c>
      <c r="H529" s="2">
        <v>633</v>
      </c>
      <c r="I529" s="2">
        <v>6.54</v>
      </c>
    </row>
    <row r="530" spans="1:9" x14ac:dyDescent="0.25">
      <c r="A530" s="2" t="s">
        <v>29</v>
      </c>
      <c r="B530" s="2" t="s">
        <v>31</v>
      </c>
      <c r="C530" s="3">
        <v>44562</v>
      </c>
      <c r="D530" s="2">
        <v>6407</v>
      </c>
      <c r="E530" s="2">
        <v>746</v>
      </c>
      <c r="F530" s="2">
        <v>1.65</v>
      </c>
      <c r="G530" s="2" t="s">
        <v>21</v>
      </c>
      <c r="H530" s="2">
        <v>259</v>
      </c>
      <c r="I530" s="2">
        <v>9.91</v>
      </c>
    </row>
    <row r="531" spans="1:9" x14ac:dyDescent="0.25">
      <c r="A531" s="2" t="s">
        <v>29</v>
      </c>
      <c r="B531" s="2" t="s">
        <v>31</v>
      </c>
      <c r="C531" s="3">
        <v>44563</v>
      </c>
      <c r="D531" s="2">
        <v>6218</v>
      </c>
      <c r="E531" s="2">
        <v>232</v>
      </c>
      <c r="F531" s="2">
        <v>7.89</v>
      </c>
      <c r="G531" s="2" t="s">
        <v>21</v>
      </c>
      <c r="H531" s="2">
        <v>555</v>
      </c>
      <c r="I531" s="2">
        <v>4.92</v>
      </c>
    </row>
    <row r="532" spans="1:9" x14ac:dyDescent="0.25">
      <c r="A532" s="2" t="s">
        <v>29</v>
      </c>
      <c r="B532" s="2" t="s">
        <v>31</v>
      </c>
      <c r="C532" s="3">
        <v>44564</v>
      </c>
      <c r="D532" s="2">
        <v>9667</v>
      </c>
      <c r="E532" s="2">
        <v>467</v>
      </c>
      <c r="F532" s="2">
        <v>9.82</v>
      </c>
      <c r="G532" s="2" t="s">
        <v>18</v>
      </c>
      <c r="H532" s="2">
        <v>240</v>
      </c>
      <c r="I532" s="2">
        <v>9.14</v>
      </c>
    </row>
    <row r="533" spans="1:9" x14ac:dyDescent="0.25">
      <c r="A533" s="2" t="s">
        <v>29</v>
      </c>
      <c r="B533" s="2" t="s">
        <v>31</v>
      </c>
      <c r="C533" s="3">
        <v>44565</v>
      </c>
      <c r="D533" s="2">
        <v>7564</v>
      </c>
      <c r="E533" s="2">
        <v>363</v>
      </c>
      <c r="F533" s="2">
        <v>9.3699999999999992</v>
      </c>
      <c r="G533" s="2" t="s">
        <v>17</v>
      </c>
      <c r="H533" s="2">
        <v>480</v>
      </c>
      <c r="I533" s="2">
        <v>8.31</v>
      </c>
    </row>
    <row r="534" spans="1:9" x14ac:dyDescent="0.25">
      <c r="A534" s="2" t="s">
        <v>29</v>
      </c>
      <c r="B534" s="2" t="s">
        <v>31</v>
      </c>
      <c r="C534" s="3">
        <v>44566</v>
      </c>
      <c r="D534" s="2">
        <v>3837</v>
      </c>
      <c r="E534" s="2">
        <v>840</v>
      </c>
      <c r="F534" s="2">
        <v>7.52</v>
      </c>
      <c r="G534" s="2" t="s">
        <v>21</v>
      </c>
      <c r="H534" s="2">
        <v>540</v>
      </c>
      <c r="I534" s="2">
        <v>9.31</v>
      </c>
    </row>
    <row r="535" spans="1:9" x14ac:dyDescent="0.25">
      <c r="A535" s="2" t="s">
        <v>29</v>
      </c>
      <c r="B535" s="2" t="s">
        <v>31</v>
      </c>
      <c r="C535" s="3">
        <v>44567</v>
      </c>
      <c r="D535" s="2">
        <v>7942</v>
      </c>
      <c r="E535" s="2">
        <v>862</v>
      </c>
      <c r="F535" s="2">
        <v>9.09</v>
      </c>
      <c r="G535" s="2" t="s">
        <v>17</v>
      </c>
      <c r="H535" s="2">
        <v>323</v>
      </c>
      <c r="I535" s="2">
        <v>4.3899999999999997</v>
      </c>
    </row>
    <row r="536" spans="1:9" x14ac:dyDescent="0.25">
      <c r="A536" s="2" t="s">
        <v>29</v>
      </c>
      <c r="B536" s="2" t="s">
        <v>31</v>
      </c>
      <c r="C536" s="3">
        <v>44568</v>
      </c>
      <c r="D536" s="2">
        <v>9113</v>
      </c>
      <c r="E536" s="2">
        <v>1061</v>
      </c>
      <c r="F536" s="2">
        <v>2.2400000000000002</v>
      </c>
      <c r="G536" s="2" t="s">
        <v>17</v>
      </c>
      <c r="H536" s="2">
        <v>451</v>
      </c>
      <c r="I536" s="2">
        <v>7.05</v>
      </c>
    </row>
    <row r="537" spans="1:9" x14ac:dyDescent="0.25">
      <c r="A537" s="2" t="s">
        <v>29</v>
      </c>
      <c r="B537" s="2" t="s">
        <v>31</v>
      </c>
      <c r="C537" s="3">
        <v>44569</v>
      </c>
      <c r="D537" s="2">
        <v>4197</v>
      </c>
      <c r="E537" s="2">
        <v>517</v>
      </c>
      <c r="F537" s="2">
        <v>4.0199999999999996</v>
      </c>
      <c r="G537" s="2" t="s">
        <v>21</v>
      </c>
      <c r="H537" s="2">
        <v>985</v>
      </c>
      <c r="I537" s="2">
        <v>9.4499999999999993</v>
      </c>
    </row>
    <row r="538" spans="1:9" x14ac:dyDescent="0.25">
      <c r="A538" s="2" t="s">
        <v>29</v>
      </c>
      <c r="B538" s="2" t="s">
        <v>31</v>
      </c>
      <c r="C538" s="3">
        <v>44570</v>
      </c>
      <c r="D538" s="2">
        <v>5860</v>
      </c>
      <c r="E538" s="2">
        <v>834</v>
      </c>
      <c r="F538" s="2">
        <v>8.6300000000000008</v>
      </c>
      <c r="G538" s="2" t="s">
        <v>18</v>
      </c>
      <c r="H538" s="2">
        <v>938</v>
      </c>
      <c r="I538" s="2">
        <v>2.36</v>
      </c>
    </row>
    <row r="539" spans="1:9" x14ac:dyDescent="0.25">
      <c r="A539" s="2" t="s">
        <v>29</v>
      </c>
      <c r="B539" s="2" t="s">
        <v>31</v>
      </c>
      <c r="C539" s="3">
        <v>44571</v>
      </c>
      <c r="D539" s="2">
        <v>6982</v>
      </c>
      <c r="E539" s="2">
        <v>866</v>
      </c>
      <c r="F539" s="2">
        <v>9.4700000000000006</v>
      </c>
      <c r="G539" s="2" t="s">
        <v>21</v>
      </c>
      <c r="H539" s="2">
        <v>497</v>
      </c>
      <c r="I539" s="2">
        <v>5.2</v>
      </c>
    </row>
    <row r="540" spans="1:9" x14ac:dyDescent="0.25">
      <c r="A540" s="2" t="s">
        <v>29</v>
      </c>
      <c r="B540" s="2" t="s">
        <v>31</v>
      </c>
      <c r="C540" s="3">
        <v>44572</v>
      </c>
      <c r="D540" s="2">
        <v>8160</v>
      </c>
      <c r="E540" s="2">
        <v>702</v>
      </c>
      <c r="F540" s="2">
        <v>6.3</v>
      </c>
      <c r="G540" s="2" t="s">
        <v>21</v>
      </c>
      <c r="H540" s="2">
        <v>528</v>
      </c>
      <c r="I540" s="2">
        <v>4.4400000000000004</v>
      </c>
    </row>
    <row r="541" spans="1:9" x14ac:dyDescent="0.25">
      <c r="A541" s="2" t="s">
        <v>29</v>
      </c>
      <c r="B541" s="2" t="s">
        <v>31</v>
      </c>
      <c r="C541" s="3">
        <v>44573</v>
      </c>
      <c r="D541" s="2">
        <v>9443</v>
      </c>
      <c r="E541" s="2">
        <v>356</v>
      </c>
      <c r="F541" s="2">
        <v>4.8</v>
      </c>
      <c r="G541" s="2" t="s">
        <v>17</v>
      </c>
      <c r="H541" s="2">
        <v>560</v>
      </c>
      <c r="I541" s="2">
        <v>6.76</v>
      </c>
    </row>
    <row r="542" spans="1:9" x14ac:dyDescent="0.25">
      <c r="A542" s="2" t="s">
        <v>29</v>
      </c>
      <c r="B542" s="2" t="s">
        <v>31</v>
      </c>
      <c r="C542" s="3">
        <v>44927</v>
      </c>
      <c r="D542" s="2">
        <v>7878</v>
      </c>
      <c r="E542" s="2">
        <v>600</v>
      </c>
      <c r="F542" s="2">
        <v>2.12</v>
      </c>
      <c r="G542" s="2" t="s">
        <v>18</v>
      </c>
      <c r="H542" s="2">
        <v>642</v>
      </c>
      <c r="I542" s="2">
        <v>9.86</v>
      </c>
    </row>
    <row r="543" spans="1:9" x14ac:dyDescent="0.25">
      <c r="A543" s="2" t="s">
        <v>29</v>
      </c>
      <c r="B543" s="2" t="s">
        <v>31</v>
      </c>
      <c r="C543" s="3">
        <v>44928</v>
      </c>
      <c r="D543" s="2">
        <v>5696</v>
      </c>
      <c r="E543" s="2">
        <v>493</v>
      </c>
      <c r="F543" s="2">
        <v>6.6</v>
      </c>
      <c r="G543" s="2" t="s">
        <v>21</v>
      </c>
      <c r="H543" s="2">
        <v>731</v>
      </c>
      <c r="I543" s="2">
        <v>5.14</v>
      </c>
    </row>
    <row r="544" spans="1:9" x14ac:dyDescent="0.25">
      <c r="A544" s="2" t="s">
        <v>29</v>
      </c>
      <c r="B544" s="2" t="s">
        <v>31</v>
      </c>
      <c r="C544" s="3">
        <v>44929</v>
      </c>
      <c r="D544" s="2">
        <v>7217</v>
      </c>
      <c r="E544" s="2">
        <v>571</v>
      </c>
      <c r="F544" s="2">
        <v>9.52</v>
      </c>
      <c r="G544" s="2" t="s">
        <v>17</v>
      </c>
      <c r="H544" s="2">
        <v>300</v>
      </c>
      <c r="I544" s="2">
        <v>2.4700000000000002</v>
      </c>
    </row>
    <row r="545" spans="1:9" x14ac:dyDescent="0.25">
      <c r="A545" s="2" t="s">
        <v>29</v>
      </c>
      <c r="B545" s="2" t="s">
        <v>31</v>
      </c>
      <c r="C545" s="3">
        <v>44930</v>
      </c>
      <c r="D545" s="2">
        <v>5246</v>
      </c>
      <c r="E545" s="2">
        <v>479</v>
      </c>
      <c r="F545" s="2">
        <v>1.71</v>
      </c>
      <c r="G545" s="2" t="s">
        <v>21</v>
      </c>
      <c r="H545" s="2">
        <v>404</v>
      </c>
      <c r="I545" s="2">
        <v>0.91</v>
      </c>
    </row>
    <row r="546" spans="1:9" x14ac:dyDescent="0.25">
      <c r="A546" s="2" t="s">
        <v>29</v>
      </c>
      <c r="B546" s="2" t="s">
        <v>31</v>
      </c>
      <c r="C546" s="3">
        <v>44931</v>
      </c>
      <c r="D546" s="2">
        <v>3269</v>
      </c>
      <c r="E546" s="2">
        <v>1124</v>
      </c>
      <c r="F546" s="2">
        <v>5.37</v>
      </c>
      <c r="G546" s="2" t="s">
        <v>21</v>
      </c>
      <c r="H546" s="2">
        <v>610</v>
      </c>
      <c r="I546" s="2">
        <v>3.36</v>
      </c>
    </row>
    <row r="547" spans="1:9" x14ac:dyDescent="0.25">
      <c r="A547" s="2" t="s">
        <v>29</v>
      </c>
      <c r="B547" s="2" t="s">
        <v>31</v>
      </c>
      <c r="C547" s="3">
        <v>44932</v>
      </c>
      <c r="D547" s="2">
        <v>7370</v>
      </c>
      <c r="E547" s="2">
        <v>877</v>
      </c>
      <c r="F547" s="2">
        <v>6.79</v>
      </c>
      <c r="G547" s="2" t="s">
        <v>21</v>
      </c>
      <c r="H547" s="2">
        <v>633</v>
      </c>
      <c r="I547" s="2">
        <v>1.95</v>
      </c>
    </row>
    <row r="548" spans="1:9" x14ac:dyDescent="0.25">
      <c r="A548" s="2" t="s">
        <v>29</v>
      </c>
      <c r="B548" s="2" t="s">
        <v>31</v>
      </c>
      <c r="C548" s="3">
        <v>44933</v>
      </c>
      <c r="D548" s="2">
        <v>8918</v>
      </c>
      <c r="E548" s="2">
        <v>306</v>
      </c>
      <c r="F548" s="2">
        <v>1.43</v>
      </c>
      <c r="G548" s="2" t="s">
        <v>21</v>
      </c>
      <c r="H548" s="2">
        <v>467</v>
      </c>
      <c r="I548" s="2">
        <v>5.17</v>
      </c>
    </row>
    <row r="549" spans="1:9" x14ac:dyDescent="0.25">
      <c r="A549" s="2" t="s">
        <v>29</v>
      </c>
      <c r="B549" s="2" t="s">
        <v>31</v>
      </c>
      <c r="C549" s="3">
        <v>44934</v>
      </c>
      <c r="D549" s="2">
        <v>5939</v>
      </c>
      <c r="E549" s="2">
        <v>715</v>
      </c>
      <c r="F549" s="2">
        <v>2.36</v>
      </c>
      <c r="G549" s="2" t="s">
        <v>18</v>
      </c>
      <c r="H549" s="2">
        <v>754</v>
      </c>
      <c r="I549" s="2">
        <v>1.74</v>
      </c>
    </row>
    <row r="550" spans="1:9" x14ac:dyDescent="0.25">
      <c r="A550" s="2" t="s">
        <v>29</v>
      </c>
      <c r="B550" s="2" t="s">
        <v>31</v>
      </c>
      <c r="C550" s="3">
        <v>44935</v>
      </c>
      <c r="D550" s="2">
        <v>3319</v>
      </c>
      <c r="E550" s="2">
        <v>709</v>
      </c>
      <c r="F550" s="2">
        <v>9.5500000000000007</v>
      </c>
      <c r="G550" s="2" t="s">
        <v>17</v>
      </c>
      <c r="H550" s="2">
        <v>260</v>
      </c>
      <c r="I550" s="2">
        <v>4.24</v>
      </c>
    </row>
    <row r="551" spans="1:9" x14ac:dyDescent="0.25">
      <c r="A551" s="2" t="s">
        <v>29</v>
      </c>
      <c r="B551" s="2" t="s">
        <v>31</v>
      </c>
      <c r="C551" s="3">
        <v>44936</v>
      </c>
      <c r="D551" s="2">
        <v>9538</v>
      </c>
      <c r="E551" s="2">
        <v>1166</v>
      </c>
      <c r="F551" s="2">
        <v>1.87</v>
      </c>
      <c r="G551" s="2" t="s">
        <v>18</v>
      </c>
      <c r="H551" s="2">
        <v>210</v>
      </c>
      <c r="I551" s="2">
        <v>3.1</v>
      </c>
    </row>
    <row r="552" spans="1:9" x14ac:dyDescent="0.25">
      <c r="A552" s="2" t="s">
        <v>29</v>
      </c>
      <c r="B552" s="2" t="s">
        <v>31</v>
      </c>
      <c r="C552" s="3">
        <v>44937</v>
      </c>
      <c r="D552" s="2">
        <v>5210</v>
      </c>
      <c r="E552" s="2">
        <v>482</v>
      </c>
      <c r="F552" s="2">
        <v>3.55</v>
      </c>
      <c r="G552" s="2" t="s">
        <v>18</v>
      </c>
      <c r="H552" s="2">
        <v>650</v>
      </c>
      <c r="I552" s="2">
        <v>3.38</v>
      </c>
    </row>
    <row r="553" spans="1:9" x14ac:dyDescent="0.25">
      <c r="A553" s="2" t="s">
        <v>29</v>
      </c>
      <c r="B553" s="2" t="s">
        <v>31</v>
      </c>
      <c r="C553" s="3">
        <v>44938</v>
      </c>
      <c r="D553" s="2">
        <v>5556</v>
      </c>
      <c r="E553" s="2">
        <v>787</v>
      </c>
      <c r="F553" s="2">
        <v>9.42</v>
      </c>
      <c r="G553" s="2" t="s">
        <v>21</v>
      </c>
      <c r="H553" s="2">
        <v>810</v>
      </c>
      <c r="I553" s="2">
        <v>1.81</v>
      </c>
    </row>
    <row r="554" spans="1:9" x14ac:dyDescent="0.25">
      <c r="A554" s="2" t="s">
        <v>29</v>
      </c>
      <c r="B554" s="2" t="s">
        <v>31</v>
      </c>
      <c r="C554" s="3">
        <v>45292</v>
      </c>
      <c r="D554" s="2">
        <v>8332</v>
      </c>
      <c r="E554" s="2">
        <v>990</v>
      </c>
      <c r="F554" s="2">
        <v>4.8499999999999996</v>
      </c>
      <c r="G554" s="2" t="s">
        <v>21</v>
      </c>
      <c r="H554" s="2">
        <v>201</v>
      </c>
      <c r="I554" s="2">
        <v>4.62</v>
      </c>
    </row>
    <row r="555" spans="1:9" x14ac:dyDescent="0.25">
      <c r="A555" s="2" t="s">
        <v>29</v>
      </c>
      <c r="B555" s="2" t="s">
        <v>31</v>
      </c>
      <c r="C555" s="3">
        <v>45293</v>
      </c>
      <c r="D555" s="2">
        <v>8752</v>
      </c>
      <c r="E555" s="2">
        <v>1015</v>
      </c>
      <c r="F555" s="2">
        <v>9.1199999999999992</v>
      </c>
      <c r="G555" s="2" t="s">
        <v>20</v>
      </c>
      <c r="H555" s="2">
        <v>473</v>
      </c>
      <c r="I555" s="2">
        <v>7.42</v>
      </c>
    </row>
    <row r="556" spans="1:9" x14ac:dyDescent="0.25">
      <c r="A556" s="2" t="s">
        <v>29</v>
      </c>
      <c r="B556" s="2" t="s">
        <v>31</v>
      </c>
      <c r="C556" s="3">
        <v>45294</v>
      </c>
      <c r="D556" s="2">
        <v>9743</v>
      </c>
      <c r="E556" s="2">
        <v>909</v>
      </c>
      <c r="F556" s="2">
        <v>1.22</v>
      </c>
      <c r="G556" s="2" t="s">
        <v>20</v>
      </c>
      <c r="H556" s="2">
        <v>877</v>
      </c>
      <c r="I556" s="2">
        <v>4.83</v>
      </c>
    </row>
    <row r="557" spans="1:9" x14ac:dyDescent="0.25">
      <c r="A557" s="2" t="s">
        <v>29</v>
      </c>
      <c r="B557" s="2" t="s">
        <v>31</v>
      </c>
      <c r="C557" s="3">
        <v>45295</v>
      </c>
      <c r="D557" s="2">
        <v>9802</v>
      </c>
      <c r="E557" s="2">
        <v>387</v>
      </c>
      <c r="F557" s="2">
        <v>7.71</v>
      </c>
      <c r="G557" s="2" t="s">
        <v>17</v>
      </c>
      <c r="H557" s="2">
        <v>156</v>
      </c>
      <c r="I557" s="2">
        <v>5.93</v>
      </c>
    </row>
    <row r="558" spans="1:9" x14ac:dyDescent="0.25">
      <c r="A558" s="2" t="s">
        <v>29</v>
      </c>
      <c r="B558" s="2" t="s">
        <v>31</v>
      </c>
      <c r="C558" s="3">
        <v>45296</v>
      </c>
      <c r="D558" s="2">
        <v>4778</v>
      </c>
      <c r="E558" s="2">
        <v>309</v>
      </c>
      <c r="F558" s="2">
        <v>8.6300000000000008</v>
      </c>
      <c r="G558" s="2" t="s">
        <v>20</v>
      </c>
      <c r="H558" s="2">
        <v>694</v>
      </c>
      <c r="I558" s="2">
        <v>2.4500000000000002</v>
      </c>
    </row>
    <row r="559" spans="1:9" x14ac:dyDescent="0.25">
      <c r="A559" s="2" t="s">
        <v>29</v>
      </c>
      <c r="B559" s="2" t="s">
        <v>31</v>
      </c>
      <c r="C559" s="3">
        <v>45297</v>
      </c>
      <c r="D559" s="2">
        <v>7863</v>
      </c>
      <c r="E559" s="2">
        <v>743</v>
      </c>
      <c r="F559" s="2">
        <v>7.49</v>
      </c>
      <c r="G559" s="2" t="s">
        <v>17</v>
      </c>
      <c r="H559" s="2">
        <v>460</v>
      </c>
      <c r="I559" s="2">
        <v>1.91</v>
      </c>
    </row>
    <row r="560" spans="1:9" x14ac:dyDescent="0.25">
      <c r="A560" s="2" t="s">
        <v>29</v>
      </c>
      <c r="B560" s="2" t="s">
        <v>31</v>
      </c>
      <c r="C560" s="3">
        <v>45298</v>
      </c>
      <c r="D560" s="2">
        <v>9558</v>
      </c>
      <c r="E560" s="2">
        <v>241</v>
      </c>
      <c r="F560" s="2">
        <v>9.84</v>
      </c>
      <c r="G560" s="2" t="s">
        <v>21</v>
      </c>
      <c r="H560" s="2">
        <v>738</v>
      </c>
      <c r="I560" s="2">
        <v>9.0399999999999991</v>
      </c>
    </row>
    <row r="561" spans="1:9" x14ac:dyDescent="0.25">
      <c r="A561" s="2" t="s">
        <v>29</v>
      </c>
      <c r="B561" s="2" t="s">
        <v>31</v>
      </c>
      <c r="C561" s="3">
        <v>45299</v>
      </c>
      <c r="D561" s="2">
        <v>8290</v>
      </c>
      <c r="E561" s="2">
        <v>739</v>
      </c>
      <c r="F561" s="2">
        <v>5.07</v>
      </c>
      <c r="G561" s="2" t="s">
        <v>17</v>
      </c>
      <c r="H561" s="2">
        <v>283</v>
      </c>
      <c r="I561" s="2">
        <v>1.82</v>
      </c>
    </row>
    <row r="562" spans="1:9" x14ac:dyDescent="0.25">
      <c r="A562" s="2" t="s">
        <v>29</v>
      </c>
      <c r="B562" s="2" t="s">
        <v>31</v>
      </c>
      <c r="C562" s="3">
        <v>45300</v>
      </c>
      <c r="D562" s="2">
        <v>6275</v>
      </c>
      <c r="E562" s="2">
        <v>833</v>
      </c>
      <c r="F562" s="2">
        <v>4.72</v>
      </c>
      <c r="G562" s="2" t="s">
        <v>21</v>
      </c>
      <c r="H562" s="2">
        <v>967</v>
      </c>
      <c r="I562" s="2">
        <v>8.8800000000000008</v>
      </c>
    </row>
    <row r="563" spans="1:9" x14ac:dyDescent="0.25">
      <c r="A563" s="2" t="s">
        <v>29</v>
      </c>
      <c r="B563" s="2" t="s">
        <v>31</v>
      </c>
      <c r="C563" s="3">
        <v>45301</v>
      </c>
      <c r="D563" s="2">
        <v>6280</v>
      </c>
      <c r="E563" s="2">
        <v>1176</v>
      </c>
      <c r="F563" s="2">
        <v>7.3</v>
      </c>
      <c r="G563" s="2" t="s">
        <v>17</v>
      </c>
      <c r="H563" s="2">
        <v>730</v>
      </c>
      <c r="I563" s="2">
        <v>7.83</v>
      </c>
    </row>
    <row r="564" spans="1:9" x14ac:dyDescent="0.25">
      <c r="A564" s="2" t="s">
        <v>29</v>
      </c>
      <c r="B564" s="2" t="s">
        <v>31</v>
      </c>
      <c r="C564" s="3">
        <v>45302</v>
      </c>
      <c r="D564" s="2">
        <v>7120</v>
      </c>
      <c r="E564" s="2">
        <v>606</v>
      </c>
      <c r="F564" s="2">
        <v>4.2699999999999996</v>
      </c>
      <c r="G564" s="2" t="s">
        <v>18</v>
      </c>
      <c r="H564" s="2">
        <v>385</v>
      </c>
      <c r="I564" s="2">
        <v>6.84</v>
      </c>
    </row>
    <row r="565" spans="1:9" x14ac:dyDescent="0.25">
      <c r="A565" s="2" t="s">
        <v>29</v>
      </c>
      <c r="B565" s="2" t="s">
        <v>31</v>
      </c>
      <c r="C565" s="3">
        <v>45303</v>
      </c>
      <c r="D565" s="2">
        <v>6877</v>
      </c>
      <c r="E565" s="2">
        <v>974</v>
      </c>
      <c r="F565" s="2">
        <v>2.2200000000000002</v>
      </c>
      <c r="G565" s="2" t="s">
        <v>17</v>
      </c>
      <c r="H565" s="2">
        <v>311</v>
      </c>
      <c r="I565" s="2">
        <v>1.73</v>
      </c>
    </row>
    <row r="566" spans="1:9" x14ac:dyDescent="0.25">
      <c r="A566" s="2" t="s">
        <v>29</v>
      </c>
      <c r="B566" s="2" t="s">
        <v>31</v>
      </c>
      <c r="C566" s="3">
        <v>45658</v>
      </c>
      <c r="D566" s="2">
        <v>4534</v>
      </c>
      <c r="E566" s="2">
        <v>930</v>
      </c>
      <c r="F566" s="2">
        <v>1.1200000000000001</v>
      </c>
      <c r="G566" s="2" t="s">
        <v>20</v>
      </c>
      <c r="H566" s="2">
        <v>236</v>
      </c>
      <c r="I566" s="2">
        <v>9.69</v>
      </c>
    </row>
    <row r="567" spans="1:9" x14ac:dyDescent="0.25">
      <c r="A567" s="2" t="s">
        <v>29</v>
      </c>
      <c r="B567" s="2" t="s">
        <v>31</v>
      </c>
      <c r="C567" s="3">
        <v>45659</v>
      </c>
      <c r="D567" s="2">
        <v>5443</v>
      </c>
      <c r="E567" s="2">
        <v>703</v>
      </c>
      <c r="F567" s="2">
        <v>1.33</v>
      </c>
      <c r="G567" s="2" t="s">
        <v>17</v>
      </c>
      <c r="H567" s="2">
        <v>942</v>
      </c>
      <c r="I567" s="2">
        <v>5.99</v>
      </c>
    </row>
    <row r="568" spans="1:9" x14ac:dyDescent="0.25">
      <c r="A568" s="2" t="s">
        <v>29</v>
      </c>
      <c r="B568" s="2" t="s">
        <v>31</v>
      </c>
      <c r="C568" s="3">
        <v>45660</v>
      </c>
      <c r="D568" s="2">
        <v>3750</v>
      </c>
      <c r="E568" s="2">
        <v>748</v>
      </c>
      <c r="F568" s="2">
        <v>1.6</v>
      </c>
      <c r="G568" s="2" t="s">
        <v>18</v>
      </c>
      <c r="H568" s="2">
        <v>884</v>
      </c>
      <c r="I568" s="2">
        <v>4.6900000000000004</v>
      </c>
    </row>
    <row r="569" spans="1:9" x14ac:dyDescent="0.25">
      <c r="A569" s="2" t="s">
        <v>29</v>
      </c>
      <c r="B569" s="2" t="s">
        <v>31</v>
      </c>
      <c r="C569" s="3">
        <v>45661</v>
      </c>
      <c r="D569" s="2">
        <v>7794</v>
      </c>
      <c r="E569" s="2">
        <v>352</v>
      </c>
      <c r="F569" s="2">
        <v>3.94</v>
      </c>
      <c r="G569" s="2" t="s">
        <v>18</v>
      </c>
      <c r="H569" s="2">
        <v>723</v>
      </c>
      <c r="I569" s="2">
        <v>2.94</v>
      </c>
    </row>
    <row r="570" spans="1:9" x14ac:dyDescent="0.25">
      <c r="A570" s="2" t="s">
        <v>29</v>
      </c>
      <c r="B570" s="2" t="s">
        <v>31</v>
      </c>
      <c r="C570" s="3">
        <v>45662</v>
      </c>
      <c r="D570" s="2">
        <v>5669</v>
      </c>
      <c r="E570" s="2">
        <v>1066</v>
      </c>
      <c r="F570" s="2">
        <v>6.94</v>
      </c>
      <c r="G570" s="2" t="s">
        <v>18</v>
      </c>
      <c r="H570" s="2">
        <v>970</v>
      </c>
      <c r="I570" s="2">
        <v>9.2799999999999994</v>
      </c>
    </row>
    <row r="571" spans="1:9" x14ac:dyDescent="0.25">
      <c r="A571" s="2" t="s">
        <v>29</v>
      </c>
      <c r="B571" s="2" t="s">
        <v>31</v>
      </c>
      <c r="C571" s="3">
        <v>45663</v>
      </c>
      <c r="D571" s="2">
        <v>9638</v>
      </c>
      <c r="E571" s="2">
        <v>979</v>
      </c>
      <c r="F571" s="2">
        <v>6.25</v>
      </c>
      <c r="G571" s="2" t="s">
        <v>18</v>
      </c>
      <c r="H571" s="2">
        <v>272</v>
      </c>
      <c r="I571" s="2">
        <v>2.35</v>
      </c>
    </row>
    <row r="572" spans="1:9" x14ac:dyDescent="0.25">
      <c r="A572" s="2" t="s">
        <v>29</v>
      </c>
      <c r="B572" s="2" t="s">
        <v>31</v>
      </c>
      <c r="C572" s="3">
        <v>45664</v>
      </c>
      <c r="D572" s="2">
        <v>3816</v>
      </c>
      <c r="E572" s="2">
        <v>537</v>
      </c>
      <c r="F572" s="2">
        <v>3.72</v>
      </c>
      <c r="G572" s="2" t="s">
        <v>21</v>
      </c>
      <c r="H572" s="2">
        <v>206</v>
      </c>
      <c r="I572" s="2">
        <v>0.41</v>
      </c>
    </row>
    <row r="573" spans="1:9" x14ac:dyDescent="0.25">
      <c r="A573" s="2" t="s">
        <v>29</v>
      </c>
      <c r="B573" s="2" t="s">
        <v>31</v>
      </c>
      <c r="C573" s="3">
        <v>45665</v>
      </c>
      <c r="D573" s="2">
        <v>6077</v>
      </c>
      <c r="E573" s="2">
        <v>451</v>
      </c>
      <c r="F573" s="2">
        <v>7.35</v>
      </c>
      <c r="G573" s="2" t="s">
        <v>21</v>
      </c>
      <c r="H573" s="2">
        <v>779</v>
      </c>
      <c r="I573" s="2">
        <v>9.08</v>
      </c>
    </row>
    <row r="574" spans="1:9" x14ac:dyDescent="0.25">
      <c r="A574" s="2" t="s">
        <v>29</v>
      </c>
      <c r="B574" s="2" t="s">
        <v>31</v>
      </c>
      <c r="C574" s="3">
        <v>45666</v>
      </c>
      <c r="D574" s="2">
        <v>6257</v>
      </c>
      <c r="E574" s="2">
        <v>308</v>
      </c>
      <c r="F574" s="2">
        <v>8.7799999999999994</v>
      </c>
      <c r="G574" s="2" t="s">
        <v>21</v>
      </c>
      <c r="H574" s="2">
        <v>433</v>
      </c>
      <c r="I574" s="2">
        <v>9.49</v>
      </c>
    </row>
    <row r="575" spans="1:9" x14ac:dyDescent="0.25">
      <c r="A575" s="2" t="s">
        <v>29</v>
      </c>
      <c r="B575" s="2" t="s">
        <v>31</v>
      </c>
      <c r="C575" s="3">
        <v>45667</v>
      </c>
      <c r="D575" s="2">
        <v>5019</v>
      </c>
      <c r="E575" s="2">
        <v>851</v>
      </c>
      <c r="F575" s="2">
        <v>1.89</v>
      </c>
      <c r="G575" s="2" t="s">
        <v>17</v>
      </c>
      <c r="H575" s="2">
        <v>350</v>
      </c>
      <c r="I575" s="2">
        <v>0.43</v>
      </c>
    </row>
    <row r="576" spans="1:9" x14ac:dyDescent="0.25">
      <c r="A576" s="2" t="s">
        <v>29</v>
      </c>
      <c r="B576" s="2" t="s">
        <v>31</v>
      </c>
      <c r="C576" s="3">
        <v>45668</v>
      </c>
      <c r="D576" s="2">
        <v>6823</v>
      </c>
      <c r="E576" s="2">
        <v>1083</v>
      </c>
      <c r="F576" s="2">
        <v>8.6300000000000008</v>
      </c>
      <c r="G576" s="2" t="s">
        <v>18</v>
      </c>
      <c r="H576" s="2">
        <v>563</v>
      </c>
      <c r="I576" s="2">
        <v>9.02</v>
      </c>
    </row>
    <row r="577" spans="1:9" x14ac:dyDescent="0.25">
      <c r="A577" s="2" t="s">
        <v>29</v>
      </c>
      <c r="B577" s="2" t="s">
        <v>31</v>
      </c>
      <c r="C577" s="3">
        <v>45669</v>
      </c>
      <c r="D577" s="2">
        <v>6703</v>
      </c>
      <c r="E577" s="2">
        <v>416</v>
      </c>
      <c r="F577" s="2">
        <v>4.04</v>
      </c>
      <c r="G577" s="2" t="s">
        <v>17</v>
      </c>
      <c r="H577" s="2">
        <v>610</v>
      </c>
      <c r="I577" s="2">
        <v>9.1300000000000008</v>
      </c>
    </row>
  </sheetData>
  <dataValidations count="1">
    <dataValidation type="custom" allowBlank="1" showDropDown="1" sqref="C2:C577" xr:uid="{62566A47-DC5B-498E-928E-47641F3B1189}">
      <formula1>OR(NOT(ISERROR(DATEVALUE(C2))), AND(ISNUMBER(C2), LEFT(CELL("format", C2))="D"))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&amp; calculated columns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olushola nichol</cp:lastModifiedBy>
  <dcterms:created xsi:type="dcterms:W3CDTF">2026-02-11T12:40:34Z</dcterms:created>
  <dcterms:modified xsi:type="dcterms:W3CDTF">2026-02-12T06:49:03Z</dcterms:modified>
</cp:coreProperties>
</file>